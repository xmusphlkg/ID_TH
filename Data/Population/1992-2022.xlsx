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4/13 NIDS TH/Code/Data/Population/"/>
    </mc:Choice>
  </mc:AlternateContent>
  <xr:revisionPtr revIDLastSave="276" documentId="11_AD4DA82427541F7ACA7EB83DB8CE2D986AE8DE17" xr6:coauthVersionLast="47" xr6:coauthVersionMax="47" xr10:uidLastSave="{34BB4001-A0A5-4E22-865E-3AD35DE8690B}"/>
  <bookViews>
    <workbookView xWindow="-108" yWindow="-108" windowWidth="23256" windowHeight="12576" activeTab="3" xr2:uid="{00000000-000D-0000-FFFF-FFFF00000000}"/>
  </bookViews>
  <sheets>
    <sheet name="Introduction" sheetId="2" r:id="rId1"/>
    <sheet name="age" sheetId="1" r:id="rId2"/>
    <sheet name="age_un" sheetId="3" r:id="rId3"/>
    <sheet name="provinc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3" l="1"/>
  <c r="O10" i="3"/>
  <c r="P10" i="3"/>
  <c r="P11" i="3"/>
  <c r="O3" i="3"/>
  <c r="O4" i="3"/>
  <c r="X4" i="3"/>
  <c r="C11" i="3" s="1"/>
  <c r="C18" i="3" s="1"/>
  <c r="X3" i="3"/>
  <c r="E10" i="3" s="1"/>
  <c r="E17" i="3" s="1"/>
  <c r="M11" i="3" l="1"/>
  <c r="M18" i="3" s="1"/>
  <c r="L11" i="3"/>
  <c r="L18" i="3" s="1"/>
  <c r="C10" i="3"/>
  <c r="C17" i="3" s="1"/>
  <c r="K11" i="3"/>
  <c r="K18" i="3" s="1"/>
  <c r="N11" i="3"/>
  <c r="N18" i="3" s="1"/>
  <c r="D10" i="3"/>
  <c r="D17" i="3" s="1"/>
  <c r="M10" i="3"/>
  <c r="M17" i="3" s="1"/>
  <c r="J11" i="3"/>
  <c r="J18" i="3" s="1"/>
  <c r="X10" i="3"/>
  <c r="K10" i="3"/>
  <c r="K17" i="3" s="1"/>
  <c r="V11" i="3"/>
  <c r="I11" i="3"/>
  <c r="I18" i="3" s="1"/>
  <c r="H11" i="3"/>
  <c r="H18" i="3" s="1"/>
  <c r="B10" i="3"/>
  <c r="B17" i="3" s="1"/>
  <c r="W10" i="3"/>
  <c r="V10" i="3"/>
  <c r="I10" i="3"/>
  <c r="I17" i="3" s="1"/>
  <c r="T11" i="3"/>
  <c r="G11" i="3"/>
  <c r="G18" i="3" s="1"/>
  <c r="X11" i="3"/>
  <c r="J10" i="3"/>
  <c r="J17" i="3" s="1"/>
  <c r="U10" i="3"/>
  <c r="H10" i="3"/>
  <c r="H17" i="3" s="1"/>
  <c r="S11" i="3"/>
  <c r="F11" i="3"/>
  <c r="F18" i="3" s="1"/>
  <c r="Q10" i="3"/>
  <c r="N10" i="3"/>
  <c r="N17" i="3" s="1"/>
  <c r="U11" i="3"/>
  <c r="T10" i="3"/>
  <c r="G10" i="3"/>
  <c r="G17" i="3" s="1"/>
  <c r="R11" i="3"/>
  <c r="E11" i="3"/>
  <c r="E18" i="3" s="1"/>
  <c r="B11" i="3"/>
  <c r="B18" i="3" s="1"/>
  <c r="L10" i="3"/>
  <c r="L17" i="3" s="1"/>
  <c r="S10" i="3"/>
  <c r="F10" i="3"/>
  <c r="F17" i="3" s="1"/>
  <c r="Q11" i="3"/>
  <c r="D11" i="3"/>
  <c r="D18" i="3" s="1"/>
  <c r="W11" i="3"/>
  <c r="R10" i="3"/>
  <c r="O17" i="3" l="1"/>
  <c r="O18" i="3"/>
</calcChain>
</file>

<file path=xl/sharedStrings.xml><?xml version="1.0" encoding="utf-8"?>
<sst xmlns="http://schemas.openxmlformats.org/spreadsheetml/2006/main" count="91" uniqueCount="37">
  <si>
    <t>YEAR</t>
  </si>
  <si>
    <t>0-4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</si>
  <si>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</si>
  <si>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</si>
  <si>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</si>
  <si>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</si>
  <si>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</si>
  <si>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</si>
  <si>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</si>
  <si>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</si>
  <si>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</si>
  <si>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</si>
  <si>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 +</t>
  </si>
  <si>
    <t>Total</t>
  </si>
  <si>
    <t>5-9</t>
    <phoneticPr fontId="1" type="noConversion"/>
  </si>
  <si>
    <t>10-14</t>
    <phoneticPr fontId="1" type="noConversion"/>
  </si>
  <si>
    <t>Age group</t>
    <phoneticPr fontId="1" type="noConversion"/>
  </si>
  <si>
    <t>Province group</t>
    <phoneticPr fontId="1" type="noConversion"/>
  </si>
  <si>
    <t>Year</t>
    <phoneticPr fontId="1" type="noConversion"/>
  </si>
  <si>
    <t>1992-2022</t>
    <phoneticPr fontId="1" type="noConversion"/>
  </si>
  <si>
    <t>Part 3 of Annual epidemiological surveillance report 2022 (https://apps-doe.moph.go.th/boeeng/annual.php)</t>
    <phoneticPr fontId="1" type="noConversion"/>
  </si>
  <si>
    <t>Number and rate per 100,000 population of cases and deaths by province (http://doe.moph.go.th/surdata/index.php)</t>
    <phoneticPr fontId="1" type="noConversion"/>
  </si>
  <si>
    <t>65-69</t>
  </si>
  <si>
    <t>70-74</t>
  </si>
  <si>
    <t>75-79</t>
  </si>
  <si>
    <t>80-84</t>
  </si>
  <si>
    <t>85-89</t>
  </si>
  <si>
    <t>90-94</t>
  </si>
  <si>
    <t>95-99</t>
  </si>
  <si>
    <t>100+</t>
  </si>
  <si>
    <t>total</t>
    <phoneticPr fontId="1" type="noConversion"/>
  </si>
  <si>
    <t>Data from https://www.populationpyramid.net/thailand/</t>
    <phoneticPr fontId="1" type="noConversion"/>
  </si>
  <si>
    <t>Percentage of each group</t>
    <phoneticPr fontId="1" type="noConversion"/>
  </si>
  <si>
    <t>65+</t>
    <phoneticPr fontId="1" type="noConversion"/>
  </si>
  <si>
    <t>Estimation of each group</t>
    <phoneticPr fontId="1" type="noConversion"/>
  </si>
  <si>
    <t>Total</t>
    <phoneticPr fontId="1" type="noConversion"/>
  </si>
  <si>
    <t>Using 2022 to represent 2023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</si>
</sst>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0" formatCode="0.00_);[Red]\(0.00\)"/>
    <numFmt numFmtId="182" formatCode="0_);[Red]\(0\)"/>
  </numFmts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2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22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180" fontId="0" fillId="0" borderId="0" xfId="0" applyNumberFormat="1"/>
    <xf numFmtId="182" fontId="0" fillId="0" borderId="0" xfId="0" applyNumberFormat="1"/>
    <xf numFmtId="0" fontId="2" fillId="0" borderId="0" xfId="0" applyFont="1" applyAlignment="1">
      <alignment horizontal="left" vertical="top" wrapText="1"/>
    </xf>
    <xf numFmtId="0" fontId="3" fillId="0" borderId="0" xfId="0" applyFont="1"/>
    <xf numFmtId="0" fontId="2" fillId="0" borderId="0" xfId="0" applyFont="1" applyAlignment="1">
      <alignment horizontal="left" vertical="top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/>
    </xf>
    <xf numFmtId="0" fontId="4" fillId="0" borderId="0" xfId="0" applyFont="1"/>
    <xf numFmtId="182" fontId="4" fillId="0" borderId="0" xfId="0" applyNumberFormat="1" applyFont="1"/>
  </cellXfs>
  <cellStyles count="1">
    <cellStyle name="常规" xfId="0" builtinId="0"/>
  </cellStyles>
  <dxfs count="12">
    <dxf>
      <numFmt numFmtId="180" formatCode="0.00_);[Red]\(0.00\)"/>
    </dxf>
    <dxf>
      <numFmt numFmtId="30" formatCode="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</dxf>
    <dxf>
      <alignment horizontal="general" vertical="center" textRotation="0" wrapText="0" indent="0" justifyLastLine="0" shrinkToFit="0" readingOrder="0"/>
    </dxf>
    <dxf>
      <numFmt numFmtId="30" formatCode="@"/>
    </dxf>
    <dxf>
      <font>
        <b/>
        <charset val="134"/>
      </font>
      <alignment horizontal="left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22"/>
        <color theme="1"/>
        <name val="等线"/>
        <charset val="134"/>
        <scheme val="minor"/>
      </font>
    </dxf>
    <dxf>
      <font>
        <b/>
        <charset val="134"/>
      </font>
      <alignment horizontal="left" vertical="top" textRotation="0" indent="0" justifyLastLine="0" shrinkToFit="0" readingOrder="0"/>
    </dxf>
    <dxf>
      <font>
        <b/>
        <charset val="134"/>
      </font>
      <alignment horizontal="left" vertical="top" textRotation="0" indent="0" justifyLastLine="0" shrinkToFit="0" readingOrder="0"/>
    </dxf>
    <dxf>
      <font>
        <b/>
        <charset val="134"/>
      </font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442264-A09C-468A-844F-66F1D4245C28}" name="表2" displayName="表2" ref="A1:C3" totalsRowShown="0" headerRowDxfId="8" dataDxfId="7">
  <autoFilter ref="A1:C3" xr:uid="{3F442264-A09C-468A-844F-66F1D4245C28}"/>
  <tableColumns count="3">
    <tableColumn id="1" xr3:uid="{997E8495-D8F4-4A47-A899-A7A32E78A655}" name="Year" dataDxfId="11"/>
    <tableColumn id="2" xr3:uid="{84278821-E3B1-4B74-A14A-CB1846A0C4AC}" name="Age group" dataDxfId="10"/>
    <tableColumn id="3" xr3:uid="{F5485CC2-BEE3-4F3E-BF93-BB4197E8173A}" name="Province group" dataDxfId="9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B2D1C8-EEB6-48E3-BBC5-03E05CCB82C5}" name="表3" displayName="表3" ref="A2:X7" totalsRowShown="0" headerRowDxfId="5">
  <autoFilter ref="A2:X7" xr:uid="{7AB2D1C8-EEB6-48E3-BBC5-03E05CCB82C5}"/>
  <tableColumns count="24">
    <tableColumn id="1" xr3:uid="{5F5FA6ED-F131-4ABB-8B98-F1DBBA099E33}" name="Year"/>
    <tableColumn id="2" xr3:uid="{BF85B206-A0D6-4122-B91B-A9531011EE9E}" name="0-4" dataDxfId="6"/>
    <tableColumn id="3" xr3:uid="{8FAE4D95-B414-4F48-88C3-46A79D55B1C0}" name="5-9"/>
    <tableColumn id="4" xr3:uid="{09B69DF3-D366-4DBC-A2FF-B5B7D435B84B}" name="10-14"/>
    <tableColumn id="5" xr3:uid="{4128ED10-5597-407E-AA32-9F0082215A9E}" name="15-19"/>
    <tableColumn id="6" xr3:uid="{4B998FBE-25AA-4C3E-A44F-C7468F06DEF1}" name="20-24"/>
    <tableColumn id="7" xr3:uid="{566C637B-C998-4F6A-A9AC-2ED4CABD0260}" name="25-29"/>
    <tableColumn id="8" xr3:uid="{C63AF39B-BFBF-431D-9FE6-37721613EBD4}" name="30-34"/>
    <tableColumn id="9" xr3:uid="{E106A3D7-DC57-4C03-BCA0-5DF53A53F08C}" name="35-39"/>
    <tableColumn id="10" xr3:uid="{F2392BA7-6410-4779-8EFD-B8AE0528C96D}" name="40-44"/>
    <tableColumn id="11" xr3:uid="{E8F26327-393D-4EB6-BB3D-AECDF409606B}" name="45-49"/>
    <tableColumn id="12" xr3:uid="{00CF7582-B6BF-4CA8-99C1-A8E6D4E772C7}" name="50-54"/>
    <tableColumn id="13" xr3:uid="{D443DF0E-35EA-4E04-BCF4-FDC7D1A3EAEB}" name="55-59"/>
    <tableColumn id="14" xr3:uid="{A4EED2F2-806B-4239-BD78-73A150F91E22}" name="60-64"/>
    <tableColumn id="15" xr3:uid="{83CDBD91-9764-4F60-A95B-B9141F52A6CC}" name="65+" dataDxfId="0">
      <calculatedColumnFormula>SUM(P3:W3)</calculatedColumnFormula>
    </tableColumn>
    <tableColumn id="16" xr3:uid="{9A996CEE-4530-465E-BFF0-7953D7C58B99}" name="65-69"/>
    <tableColumn id="17" xr3:uid="{33E8D108-BA33-44D7-A2AA-B71E04467FDE}" name="70-74"/>
    <tableColumn id="18" xr3:uid="{3081CFA7-56C8-4A77-8252-1B3F5962F07B}" name="75-79"/>
    <tableColumn id="19" xr3:uid="{351841CC-AB6A-48D7-B771-B1E84D4EB838}" name="80-84"/>
    <tableColumn id="20" xr3:uid="{593C26FE-0A71-4444-A756-2AC5FAE35D32}" name="85-89"/>
    <tableColumn id="21" xr3:uid="{F5396BB1-1BEC-4BA7-86F9-70ACFB7FD6C6}" name="90-94"/>
    <tableColumn id="22" xr3:uid="{D6DC8A77-4896-460B-AA32-7B702098CACB}" name="95-99"/>
    <tableColumn id="23" xr3:uid="{86DA1597-4D4C-45D4-BCBE-DB027EBBCAE1}" name="100+"/>
    <tableColumn id="24" xr3:uid="{C8993402-1ADB-49E6-B3AE-908126E74035}" name="total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25CAF8-A05B-493D-9576-D5B11152E32A}" name="表4" displayName="表4" ref="A9:X14" totalsRowShown="0" headerRowDxfId="3">
  <autoFilter ref="A9:X14" xr:uid="{E425CAF8-A05B-493D-9576-D5B11152E32A}"/>
  <tableColumns count="24">
    <tableColumn id="1" xr3:uid="{890E246C-5A6C-4CCA-89EC-A0A263B3B6CA}" name="Year"/>
    <tableColumn id="2" xr3:uid="{EA2AE1F2-BA16-421B-9FFB-5C853773616E}" name="0-4" dataDxfId="4"/>
    <tableColumn id="3" xr3:uid="{4EFB77E4-FC6D-4B19-B6C6-68C0E2082D42}" name="5-9"/>
    <tableColumn id="4" xr3:uid="{0B937AE8-5F3E-40C7-869E-605B0E34531B}" name="10-14"/>
    <tableColumn id="5" xr3:uid="{B3459115-64E4-49D3-931D-D557BE051E36}" name="15-19"/>
    <tableColumn id="6" xr3:uid="{6C00A662-8E29-4D18-876A-FDB134330FF9}" name="20-24"/>
    <tableColumn id="7" xr3:uid="{ABD17644-7D4C-469E-85B1-92E9E3E02D0C}" name="25-29"/>
    <tableColumn id="8" xr3:uid="{C77A3699-888B-4C9F-956C-73FCEE9655BD}" name="30-34"/>
    <tableColumn id="9" xr3:uid="{194DCA4C-283B-46FE-AF00-6CE94A7771D1}" name="35-39"/>
    <tableColumn id="10" xr3:uid="{3590F2CB-76D4-4A9A-9332-D464F7435A7E}" name="40-44"/>
    <tableColumn id="11" xr3:uid="{01F02F90-A613-4917-A301-5D87E6D3416D}" name="45-49"/>
    <tableColumn id="12" xr3:uid="{5CD55E00-5EC2-4B00-B78D-F765A3F4A60E}" name="50-54"/>
    <tableColumn id="13" xr3:uid="{548A8AC6-8612-4CAF-8374-F76018BE13F5}" name="55-59"/>
    <tableColumn id="14" xr3:uid="{E45AF44C-6493-4967-AA00-9674D957D531}" name="60-64"/>
    <tableColumn id="15" xr3:uid="{C4203D3C-9659-4568-90E8-726E3D365AB5}" name="65+"/>
    <tableColumn id="16" xr3:uid="{F81C6D81-C873-483A-9CD8-D0D85CC82742}" name="65-69"/>
    <tableColumn id="17" xr3:uid="{4ECBC746-8589-49B2-A8B5-1B5B15FD8A05}" name="70-74"/>
    <tableColumn id="18" xr3:uid="{08A5F50C-F597-44DF-858E-B2D857D019A8}" name="75-79"/>
    <tableColumn id="19" xr3:uid="{A30E77D3-43C7-40DB-ACC7-B964332E8071}" name="80-84"/>
    <tableColumn id="20" xr3:uid="{A0595E0C-E6E5-4640-A5DF-285879A373B2}" name="85-89"/>
    <tableColumn id="21" xr3:uid="{CD7F45BF-346B-4620-8AD1-FA1F74282794}" name="90-94"/>
    <tableColumn id="22" xr3:uid="{59FDE484-A67D-4A7F-BE48-8D3C7E0E5567}" name="95-99"/>
    <tableColumn id="23" xr3:uid="{01CD7520-7C3B-4714-9E4F-F28EF042FA28}" name="100+"/>
    <tableColumn id="24" xr3:uid="{C29E7286-0CB2-48EE-86ED-A23872C53497}" name="total"/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D06390-96E2-4752-AD39-2A22000D50E8}" name="表4_6" displayName="表4_6" ref="A16:O21" totalsRowShown="0" headerRowDxfId="2">
  <autoFilter ref="A16:O21" xr:uid="{B8D06390-96E2-4752-AD39-2A22000D50E8}"/>
  <tableColumns count="15">
    <tableColumn id="1" xr3:uid="{42580EA9-DB8F-4146-BE5E-2DCD1900C58F}" name="Year"/>
    <tableColumn id="2" xr3:uid="{4C3342B0-1C0A-4408-981F-D7E1B82083E8}" name="0-4" dataDxfId="1"/>
    <tableColumn id="3" xr3:uid="{6FC0A4C7-DBB4-47DB-B7FB-17052A94CDDE}" name="5-9"/>
    <tableColumn id="4" xr3:uid="{4F249022-FBD2-4F65-80CF-60DE53F3FC1D}" name="10-14"/>
    <tableColumn id="5" xr3:uid="{912066C7-F640-4EAF-A9C1-E1073B7A26F3}" name="15-19"/>
    <tableColumn id="6" xr3:uid="{7C083472-23DF-4070-B66C-A2431931AFFB}" name="20-24"/>
    <tableColumn id="7" xr3:uid="{3D1C003B-63F8-4A5E-9506-3112B2935783}" name="25-29"/>
    <tableColumn id="8" xr3:uid="{325CB5FB-F08F-42F2-B3E0-BC39111FDAF8}" name="30-34"/>
    <tableColumn id="9" xr3:uid="{16EB263D-8730-45AB-9242-134B344C69C0}" name="35-39"/>
    <tableColumn id="10" xr3:uid="{02E0E5FC-FF02-4141-B60C-755604BDAEA3}" name="40-44"/>
    <tableColumn id="11" xr3:uid="{3459195B-AAB7-421B-8FA1-974A28758163}" name="45-49"/>
    <tableColumn id="12" xr3:uid="{D5EDD774-8565-49E1-B3EF-BBA02F56DEF9}" name="50-54"/>
    <tableColumn id="13" xr3:uid="{8937A66E-132B-483B-8F7E-2510F34DF07E}" name="55-59"/>
    <tableColumn id="14" xr3:uid="{537A5CC9-0D88-4D1B-9820-0980CB93FD94}" name="60-64"/>
    <tableColumn id="15" xr3:uid="{92C8087F-18C9-44B0-BAE0-E04233590E98}" name="65+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8012-AA46-4279-8E56-003C061CE7F3}">
  <dimension ref="A1:C3"/>
  <sheetViews>
    <sheetView workbookViewId="0">
      <selection activeCell="D18" sqref="D18"/>
    </sheetView>
  </sheetViews>
  <sheetFormatPr defaultRowHeight="14.25" x14ac:dyDescent="0.2"/>
  <cols>
    <col min="1" max="1" width="15" customWidth="1"/>
    <col min="2" max="2" width="56.875" customWidth="1"/>
    <col min="3" max="3" width="57" customWidth="1"/>
  </cols>
  <sheetData>
    <row r="1" spans="1:3" ht="30" customHeight="1" x14ac:dyDescent="0.4">
      <c r="A1" s="5" t="s">
        <v>18</v>
      </c>
      <c r="B1" s="5" t="s">
        <v>16</v>
      </c>
      <c r="C1" s="5" t="s">
        <v>17</v>
      </c>
    </row>
    <row r="2" spans="1:3" ht="30" customHeight="1" x14ac:dyDescent="0.2">
      <c r="A2" s="4" t="s">
        <v>19</v>
      </c>
      <c r="B2" s="4" t="s">
        <v>20</v>
      </c>
      <c r="C2" s="4" t="s">
        <v>21</v>
      </c>
    </row>
    <row r="3" spans="1:3" ht="45" customHeight="1" x14ac:dyDescent="0.2">
      <c r="A3" s="6">
        <v>2023</v>
      </c>
      <c r="B3" s="4" t="s">
        <v>36</v>
      </c>
      <c r="C3" s="4" t="s">
        <v>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3"/>
  <sheetViews>
    <sheetView topLeftCell="K4" workbookViewId="0">
      <selection activeCell="R15" sqref="R15"/>
    </sheetView>
  </sheetViews>
  <sheetFormatPr defaultRowHeight="14.25" x14ac:dyDescent="0.2"/>
  <cols>
    <col min="2" max="15" width="11.5" bestFit="1" customWidth="1"/>
    <col min="16" max="16" width="11.375" customWidth="1"/>
  </cols>
  <sheetData>
    <row r="1" spans="1:16" x14ac:dyDescent="0.2">
      <c r="A1" t="s">
        <v>0</v>
      </c>
      <c r="B1" t="s">
        <v>1</v>
      </c>
      <c r="C1" s="1" t="s">
        <v>14</v>
      </c>
      <c r="D1" s="1" t="s">
        <v>15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</row>
    <row r="2" spans="1:16" x14ac:dyDescent="0.2">
      <c r="A2">
        <v>1992</v>
      </c>
      <c r="B2" s="3">
        <v>5761371</v>
      </c>
      <c r="C2" s="3">
        <v>6004443</v>
      </c>
      <c r="D2" s="3">
        <v>6174285</v>
      </c>
      <c r="E2" s="3">
        <v>6179660</v>
      </c>
      <c r="F2" s="3">
        <v>6049206</v>
      </c>
      <c r="G2" s="3">
        <v>5549487</v>
      </c>
      <c r="H2" s="3">
        <v>4680049</v>
      </c>
      <c r="I2" s="3">
        <v>3945302</v>
      </c>
      <c r="J2" s="3">
        <v>3092066</v>
      </c>
      <c r="K2" s="3">
        <v>2389535</v>
      </c>
      <c r="L2" s="3">
        <v>2048435</v>
      </c>
      <c r="M2" s="3">
        <v>1778910</v>
      </c>
      <c r="N2" s="3">
        <v>1383277</v>
      </c>
      <c r="O2" s="3">
        <v>2338972</v>
      </c>
      <c r="P2" s="3">
        <v>57374998</v>
      </c>
    </row>
    <row r="3" spans="1:16" x14ac:dyDescent="0.2">
      <c r="A3">
        <v>1993</v>
      </c>
      <c r="B3" s="3">
        <v>5696364</v>
      </c>
      <c r="C3" s="3">
        <v>5934090</v>
      </c>
      <c r="D3" s="3">
        <v>6132579</v>
      </c>
      <c r="E3" s="3">
        <v>6174550</v>
      </c>
      <c r="F3" s="3">
        <v>6057717</v>
      </c>
      <c r="G3" s="3">
        <v>5702816</v>
      </c>
      <c r="H3" s="3">
        <v>4801743</v>
      </c>
      <c r="I3" s="3">
        <v>4078363</v>
      </c>
      <c r="J3" s="3">
        <v>3248116</v>
      </c>
      <c r="K3" s="3">
        <v>2479436</v>
      </c>
      <c r="L3" s="3">
        <v>2068709</v>
      </c>
      <c r="M3" s="3">
        <v>1833297</v>
      </c>
      <c r="N3" s="3">
        <v>1428468</v>
      </c>
      <c r="O3" s="3">
        <v>2426275</v>
      </c>
      <c r="P3" s="3">
        <v>58062523</v>
      </c>
    </row>
    <row r="4" spans="1:16" x14ac:dyDescent="0.2">
      <c r="A4">
        <v>1994</v>
      </c>
      <c r="B4" s="3">
        <v>5447707</v>
      </c>
      <c r="C4" s="3">
        <v>5525172</v>
      </c>
      <c r="D4" s="3">
        <v>5759705</v>
      </c>
      <c r="E4" s="3">
        <v>5832960</v>
      </c>
      <c r="F4" s="3">
        <v>5667820</v>
      </c>
      <c r="G4" s="3">
        <v>5340440</v>
      </c>
      <c r="H4" s="3">
        <v>4910093</v>
      </c>
      <c r="I4" s="3">
        <v>4405443</v>
      </c>
      <c r="J4" s="3">
        <v>3693813</v>
      </c>
      <c r="K4" s="3">
        <v>2861787</v>
      </c>
      <c r="L4" s="3">
        <v>2454140</v>
      </c>
      <c r="M4" s="3">
        <v>2184515</v>
      </c>
      <c r="N4" s="3">
        <v>1725535</v>
      </c>
      <c r="O4" s="3">
        <v>2906616</v>
      </c>
      <c r="P4" s="3">
        <v>58715746</v>
      </c>
    </row>
    <row r="5" spans="1:16" x14ac:dyDescent="0.2">
      <c r="A5">
        <v>1995</v>
      </c>
      <c r="B5" s="3">
        <v>5412865</v>
      </c>
      <c r="C5" s="3">
        <v>5468934</v>
      </c>
      <c r="D5" s="3">
        <v>5706805</v>
      </c>
      <c r="E5" s="3">
        <v>5818991</v>
      </c>
      <c r="F5" s="3">
        <v>5688963</v>
      </c>
      <c r="G5" s="3">
        <v>5380634</v>
      </c>
      <c r="H5" s="3">
        <v>4967019</v>
      </c>
      <c r="I5" s="3">
        <v>4492002</v>
      </c>
      <c r="J5" s="3">
        <v>3844374</v>
      </c>
      <c r="K5" s="3">
        <v>2969542</v>
      </c>
      <c r="L5" s="3">
        <v>2490479</v>
      </c>
      <c r="M5" s="3">
        <v>2218521</v>
      </c>
      <c r="N5" s="3">
        <v>1794422</v>
      </c>
      <c r="O5" s="3">
        <v>3024349</v>
      </c>
      <c r="P5" s="3">
        <v>59277900</v>
      </c>
    </row>
    <row r="6" spans="1:16" x14ac:dyDescent="0.2">
      <c r="A6">
        <v>1996</v>
      </c>
      <c r="B6" s="3">
        <v>5400339</v>
      </c>
      <c r="C6" s="3">
        <v>5427973</v>
      </c>
      <c r="D6" s="3">
        <v>5656024</v>
      </c>
      <c r="E6" s="3">
        <v>5795162</v>
      </c>
      <c r="F6" s="3">
        <v>5706832</v>
      </c>
      <c r="G6" s="3">
        <v>5418690</v>
      </c>
      <c r="H6" s="3">
        <v>5014368</v>
      </c>
      <c r="I6" s="3">
        <v>4569228</v>
      </c>
      <c r="J6" s="3">
        <v>3971931</v>
      </c>
      <c r="K6" s="3">
        <v>3103409</v>
      </c>
      <c r="L6" s="3">
        <v>2539035</v>
      </c>
      <c r="M6" s="3">
        <v>2251307</v>
      </c>
      <c r="N6" s="3">
        <v>1829939</v>
      </c>
      <c r="O6" s="3">
        <v>3104047</v>
      </c>
      <c r="P6" s="3">
        <v>59788284</v>
      </c>
    </row>
    <row r="7" spans="1:16" x14ac:dyDescent="0.2">
      <c r="A7">
        <v>1997</v>
      </c>
      <c r="B7" s="3">
        <v>5375280</v>
      </c>
      <c r="C7" s="3">
        <v>5416864</v>
      </c>
      <c r="D7" s="3">
        <v>5606411</v>
      </c>
      <c r="E7" s="3">
        <v>5787679</v>
      </c>
      <c r="F7" s="3">
        <v>5743686</v>
      </c>
      <c r="G7" s="3">
        <v>5468525</v>
      </c>
      <c r="H7" s="3">
        <v>5078016</v>
      </c>
      <c r="I7" s="3">
        <v>4648559</v>
      </c>
      <c r="J7" s="3">
        <v>4097324</v>
      </c>
      <c r="K7" s="3">
        <v>3261136</v>
      </c>
      <c r="L7" s="3">
        <v>2603398</v>
      </c>
      <c r="M7" s="3">
        <v>2282311</v>
      </c>
      <c r="N7" s="3">
        <v>1885751</v>
      </c>
      <c r="O7" s="3">
        <v>3211303</v>
      </c>
      <c r="P7" s="3">
        <v>60466243</v>
      </c>
    </row>
    <row r="8" spans="1:16" x14ac:dyDescent="0.2">
      <c r="A8">
        <v>1998</v>
      </c>
      <c r="B8" s="3">
        <v>5341663</v>
      </c>
      <c r="C8" s="3">
        <v>5411388</v>
      </c>
      <c r="D8" s="3">
        <v>5551666</v>
      </c>
      <c r="E8" s="3">
        <v>5763144</v>
      </c>
      <c r="F8" s="3">
        <v>5751604</v>
      </c>
      <c r="G8" s="3">
        <v>5529902</v>
      </c>
      <c r="H8" s="3">
        <v>5142509</v>
      </c>
      <c r="I8" s="3">
        <v>4720851</v>
      </c>
      <c r="J8" s="3">
        <v>4212794</v>
      </c>
      <c r="K8" s="3">
        <v>3437335</v>
      </c>
      <c r="L8" s="3">
        <v>2676546</v>
      </c>
      <c r="M8" s="3">
        <v>2312231</v>
      </c>
      <c r="N8" s="3">
        <v>1957451</v>
      </c>
      <c r="O8" s="3">
        <v>3346804</v>
      </c>
      <c r="P8" s="3">
        <v>61155888</v>
      </c>
    </row>
    <row r="9" spans="1:16" x14ac:dyDescent="0.2">
      <c r="A9">
        <v>1999</v>
      </c>
      <c r="B9" s="3">
        <v>5262552</v>
      </c>
      <c r="C9" s="3">
        <v>5395848</v>
      </c>
      <c r="D9" s="3">
        <v>5490548</v>
      </c>
      <c r="E9" s="3">
        <v>5709320</v>
      </c>
      <c r="F9" s="3">
        <v>5751375</v>
      </c>
      <c r="G9" s="3">
        <v>5549781</v>
      </c>
      <c r="H9" s="3">
        <v>5184161</v>
      </c>
      <c r="I9" s="3">
        <v>4759366</v>
      </c>
      <c r="J9" s="3">
        <v>4290178</v>
      </c>
      <c r="K9" s="3">
        <v>3588610</v>
      </c>
      <c r="L9" s="3">
        <v>2755976</v>
      </c>
      <c r="M9" s="3">
        <v>2332636</v>
      </c>
      <c r="N9" s="3">
        <v>2007020</v>
      </c>
      <c r="O9" s="3">
        <v>3486609</v>
      </c>
      <c r="P9" s="3">
        <v>61563980</v>
      </c>
    </row>
    <row r="10" spans="1:16" x14ac:dyDescent="0.2">
      <c r="A10">
        <v>2000</v>
      </c>
      <c r="B10" s="3">
        <v>5173354</v>
      </c>
      <c r="C10" s="3">
        <v>5340120</v>
      </c>
      <c r="D10" s="3">
        <v>5411127</v>
      </c>
      <c r="E10" s="3">
        <v>5630730</v>
      </c>
      <c r="F10" s="3">
        <v>5709426</v>
      </c>
      <c r="G10" s="3">
        <v>5545337</v>
      </c>
      <c r="H10" s="3">
        <v>5200709</v>
      </c>
      <c r="I10" s="3">
        <v>4791213</v>
      </c>
      <c r="J10" s="3">
        <v>4349856</v>
      </c>
      <c r="K10" s="3">
        <v>3715860</v>
      </c>
      <c r="L10" s="3">
        <v>2846502</v>
      </c>
      <c r="M10" s="3">
        <v>2352872</v>
      </c>
      <c r="N10" s="3">
        <v>2044761</v>
      </c>
      <c r="O10" s="3">
        <v>3658392</v>
      </c>
      <c r="P10" s="3">
        <v>61770259</v>
      </c>
    </row>
    <row r="11" spans="1:16" x14ac:dyDescent="0.2">
      <c r="A11">
        <v>2001</v>
      </c>
      <c r="B11" s="3">
        <v>5125593</v>
      </c>
      <c r="C11" s="3">
        <v>5293426</v>
      </c>
      <c r="D11" s="3">
        <v>5371420</v>
      </c>
      <c r="E11" s="3">
        <v>5560104</v>
      </c>
      <c r="F11" s="3">
        <v>5687409</v>
      </c>
      <c r="G11" s="3">
        <v>5567285</v>
      </c>
      <c r="H11" s="3">
        <v>5242837</v>
      </c>
      <c r="I11" s="3">
        <v>4834691</v>
      </c>
      <c r="J11" s="3">
        <v>4417183</v>
      </c>
      <c r="K11" s="3">
        <v>3833310</v>
      </c>
      <c r="L11" s="3">
        <v>2973494</v>
      </c>
      <c r="M11" s="3">
        <v>2397972</v>
      </c>
      <c r="N11" s="3">
        <v>2031563</v>
      </c>
      <c r="O11" s="3">
        <v>3757568</v>
      </c>
      <c r="P11" s="3">
        <v>62093855</v>
      </c>
    </row>
    <row r="12" spans="1:16" x14ac:dyDescent="0.2">
      <c r="A12">
        <v>2002</v>
      </c>
      <c r="B12" s="3">
        <v>4290990</v>
      </c>
      <c r="C12" s="3">
        <v>5012942</v>
      </c>
      <c r="D12" s="3">
        <v>4846635</v>
      </c>
      <c r="E12" s="3">
        <v>5051296</v>
      </c>
      <c r="F12" s="3">
        <v>5527282</v>
      </c>
      <c r="G12" s="3">
        <v>5716876</v>
      </c>
      <c r="H12" s="3">
        <v>5887082</v>
      </c>
      <c r="I12" s="3">
        <v>5600107</v>
      </c>
      <c r="J12" s="3">
        <v>4862503</v>
      </c>
      <c r="K12" s="3">
        <v>4019771</v>
      </c>
      <c r="L12" s="3">
        <v>3080166</v>
      </c>
      <c r="M12" s="3">
        <v>2203038</v>
      </c>
      <c r="N12" s="3">
        <v>2075930</v>
      </c>
      <c r="O12" s="3">
        <v>4379795</v>
      </c>
      <c r="P12" s="3">
        <v>62554413</v>
      </c>
    </row>
    <row r="13" spans="1:16" x14ac:dyDescent="0.2">
      <c r="A13">
        <v>2003</v>
      </c>
      <c r="B13" s="3">
        <v>4133411</v>
      </c>
      <c r="C13" s="3">
        <v>4982438</v>
      </c>
      <c r="D13" s="3">
        <v>4922276</v>
      </c>
      <c r="E13" s="3">
        <v>4912698</v>
      </c>
      <c r="F13" s="3">
        <v>5458985</v>
      </c>
      <c r="G13" s="3">
        <v>5662229</v>
      </c>
      <c r="H13" s="3">
        <v>5839313</v>
      </c>
      <c r="I13" s="3">
        <v>5683716</v>
      </c>
      <c r="J13" s="3">
        <v>5016803</v>
      </c>
      <c r="K13" s="3">
        <v>4164249</v>
      </c>
      <c r="L13" s="3">
        <v>3251031</v>
      </c>
      <c r="M13" s="3">
        <v>2307502</v>
      </c>
      <c r="N13" s="3">
        <v>2076817</v>
      </c>
      <c r="O13" s="3">
        <v>4528351</v>
      </c>
      <c r="P13" s="3">
        <v>62939819</v>
      </c>
    </row>
    <row r="14" spans="1:16" x14ac:dyDescent="0.2">
      <c r="A14">
        <v>2004</v>
      </c>
      <c r="B14" s="3">
        <v>4033330</v>
      </c>
      <c r="C14" s="3">
        <v>4832404</v>
      </c>
      <c r="D14" s="3">
        <v>4904407</v>
      </c>
      <c r="E14" s="3">
        <v>4775954</v>
      </c>
      <c r="F14" s="3">
        <v>5316610</v>
      </c>
      <c r="G14" s="3">
        <v>5543157</v>
      </c>
      <c r="H14" s="3">
        <v>5705599</v>
      </c>
      <c r="I14" s="3">
        <v>5656047</v>
      </c>
      <c r="J14" s="3">
        <v>5104745</v>
      </c>
      <c r="K14" s="3">
        <v>4279690</v>
      </c>
      <c r="L14" s="3">
        <v>3359360</v>
      </c>
      <c r="M14" s="3">
        <v>2419650</v>
      </c>
      <c r="N14" s="3">
        <v>2023634</v>
      </c>
      <c r="O14" s="3">
        <v>4572123</v>
      </c>
      <c r="P14" s="3">
        <v>62526710</v>
      </c>
    </row>
    <row r="15" spans="1:16" x14ac:dyDescent="0.2">
      <c r="A15">
        <v>2005</v>
      </c>
      <c r="B15" s="3">
        <v>3991348</v>
      </c>
      <c r="C15" s="3">
        <v>4649266</v>
      </c>
      <c r="D15" s="3">
        <v>4871031</v>
      </c>
      <c r="E15" s="3">
        <v>4697311</v>
      </c>
      <c r="F15" s="3">
        <v>5158682</v>
      </c>
      <c r="G15" s="3">
        <v>5455330</v>
      </c>
      <c r="H15" s="3">
        <v>5596080</v>
      </c>
      <c r="I15" s="3">
        <v>5585061</v>
      </c>
      <c r="J15" s="3">
        <v>5168057</v>
      </c>
      <c r="K15" s="3">
        <v>4393936</v>
      </c>
      <c r="L15" s="3">
        <v>3467713</v>
      </c>
      <c r="M15" s="3">
        <v>2559543</v>
      </c>
      <c r="N15" s="3">
        <v>1993668</v>
      </c>
      <c r="O15" s="3">
        <v>4608852</v>
      </c>
      <c r="P15" s="3">
        <v>62195878</v>
      </c>
    </row>
    <row r="16" spans="1:16" x14ac:dyDescent="0.2">
      <c r="A16">
        <v>2006</v>
      </c>
      <c r="B16" s="3">
        <v>3982418</v>
      </c>
      <c r="C16" s="3">
        <v>4485076</v>
      </c>
      <c r="D16" s="3">
        <v>4902464</v>
      </c>
      <c r="E16" s="3">
        <v>4716369</v>
      </c>
      <c r="F16" s="3">
        <v>5048316</v>
      </c>
      <c r="G16" s="3">
        <v>5424169</v>
      </c>
      <c r="H16" s="3">
        <v>5538260</v>
      </c>
      <c r="I16" s="3">
        <v>5610775</v>
      </c>
      <c r="J16" s="3">
        <v>5267507</v>
      </c>
      <c r="K16" s="3">
        <v>4505673</v>
      </c>
      <c r="L16" s="3">
        <v>3649179</v>
      </c>
      <c r="M16" s="3">
        <v>2735513</v>
      </c>
      <c r="N16" s="3">
        <v>2019967</v>
      </c>
      <c r="O16" s="3">
        <v>4737730</v>
      </c>
      <c r="P16" s="3">
        <v>62623416</v>
      </c>
    </row>
    <row r="17" spans="1:16" x14ac:dyDescent="0.2">
      <c r="A17">
        <v>2007</v>
      </c>
      <c r="B17" s="3">
        <v>3991894</v>
      </c>
      <c r="C17" s="3">
        <v>4309597</v>
      </c>
      <c r="D17" s="3">
        <v>4928686</v>
      </c>
      <c r="E17" s="3">
        <v>4788792</v>
      </c>
      <c r="F17" s="3">
        <v>4922676</v>
      </c>
      <c r="G17" s="3">
        <v>5369657</v>
      </c>
      <c r="H17" s="3">
        <v>5494879</v>
      </c>
      <c r="I17" s="3">
        <v>5633180</v>
      </c>
      <c r="J17" s="3">
        <v>5343331</v>
      </c>
      <c r="K17" s="3">
        <v>4619394</v>
      </c>
      <c r="L17" s="3">
        <v>3808380</v>
      </c>
      <c r="M17" s="3">
        <v>2886249</v>
      </c>
      <c r="N17" s="3">
        <v>2036931</v>
      </c>
      <c r="O17" s="3">
        <v>4799869</v>
      </c>
      <c r="P17" s="3">
        <v>62933515</v>
      </c>
    </row>
    <row r="18" spans="1:16" x14ac:dyDescent="0.2">
      <c r="A18">
        <v>2008</v>
      </c>
      <c r="B18" s="3">
        <v>3997249</v>
      </c>
      <c r="C18" s="3">
        <v>4176511</v>
      </c>
      <c r="D18" s="3">
        <v>4909870</v>
      </c>
      <c r="E18" s="3">
        <v>4870916</v>
      </c>
      <c r="F18" s="3">
        <v>4805912</v>
      </c>
      <c r="G18" s="3">
        <v>5322626</v>
      </c>
      <c r="H18" s="3">
        <v>5462704</v>
      </c>
      <c r="I18" s="3">
        <v>5593088</v>
      </c>
      <c r="J18" s="3">
        <v>5418888</v>
      </c>
      <c r="K18" s="3">
        <v>4757232</v>
      </c>
      <c r="L18" s="3">
        <v>3925831</v>
      </c>
      <c r="M18" s="3">
        <v>3036053</v>
      </c>
      <c r="N18" s="3">
        <v>2091011</v>
      </c>
      <c r="O18" s="3">
        <v>4846131</v>
      </c>
      <c r="P18" s="3">
        <v>63214022</v>
      </c>
    </row>
    <row r="19" spans="1:16" x14ac:dyDescent="0.2">
      <c r="A19">
        <v>2009</v>
      </c>
      <c r="B19" s="3">
        <v>3973721</v>
      </c>
      <c r="C19" s="3">
        <v>4102585</v>
      </c>
      <c r="D19" s="3">
        <v>4815439</v>
      </c>
      <c r="E19" s="3">
        <v>4910411</v>
      </c>
      <c r="F19" s="3">
        <v>4721027</v>
      </c>
      <c r="G19" s="3">
        <v>5244631</v>
      </c>
      <c r="H19" s="3">
        <v>5422374</v>
      </c>
      <c r="I19" s="3">
        <v>5535275</v>
      </c>
      <c r="J19" s="3">
        <v>5452439</v>
      </c>
      <c r="K19" s="3">
        <v>4889621</v>
      </c>
      <c r="L19" s="3">
        <v>4065202</v>
      </c>
      <c r="M19" s="3">
        <v>3158084</v>
      </c>
      <c r="N19" s="3">
        <v>2212629</v>
      </c>
      <c r="O19" s="3">
        <v>4954001</v>
      </c>
      <c r="P19" s="3">
        <v>63457439</v>
      </c>
    </row>
    <row r="20" spans="1:16" x14ac:dyDescent="0.2">
      <c r="A20">
        <v>2010</v>
      </c>
      <c r="B20" s="3">
        <v>3932426</v>
      </c>
      <c r="C20" s="3">
        <v>4063701</v>
      </c>
      <c r="D20" s="3">
        <v>4678117</v>
      </c>
      <c r="E20" s="3">
        <v>4928538</v>
      </c>
      <c r="F20" s="3">
        <v>4679005</v>
      </c>
      <c r="G20" s="3">
        <v>5133665</v>
      </c>
      <c r="H20" s="3">
        <v>5396614</v>
      </c>
      <c r="I20" s="3">
        <v>5493790</v>
      </c>
      <c r="J20" s="3">
        <v>5443822</v>
      </c>
      <c r="K20" s="3">
        <v>5003097</v>
      </c>
      <c r="L20" s="3">
        <v>4213695</v>
      </c>
      <c r="M20" s="3">
        <v>3283437</v>
      </c>
      <c r="N20" s="3">
        <v>2368252</v>
      </c>
      <c r="O20" s="3">
        <v>5083545</v>
      </c>
      <c r="P20" s="3">
        <v>63701703</v>
      </c>
    </row>
    <row r="21" spans="1:16" x14ac:dyDescent="0.2">
      <c r="A21">
        <v>2011</v>
      </c>
      <c r="B21" s="3">
        <v>3919169</v>
      </c>
      <c r="C21" s="3">
        <v>4056491</v>
      </c>
      <c r="D21" s="3">
        <v>4521279</v>
      </c>
      <c r="E21" s="3">
        <v>4957254</v>
      </c>
      <c r="F21" s="3">
        <v>4695744</v>
      </c>
      <c r="G21" s="3">
        <v>5032224</v>
      </c>
      <c r="H21" s="3">
        <v>5378169</v>
      </c>
      <c r="I21" s="3">
        <v>5453040</v>
      </c>
      <c r="J21" s="3">
        <v>5482091</v>
      </c>
      <c r="K21" s="3">
        <v>5108572</v>
      </c>
      <c r="L21" s="3">
        <v>4328671</v>
      </c>
      <c r="M21" s="3">
        <v>3456851</v>
      </c>
      <c r="N21" s="3">
        <v>2540952</v>
      </c>
      <c r="O21" s="3">
        <v>5250494</v>
      </c>
      <c r="P21" s="3">
        <v>64181001</v>
      </c>
    </row>
    <row r="22" spans="1:16" x14ac:dyDescent="0.2">
      <c r="A22">
        <v>2012</v>
      </c>
      <c r="B22" s="3">
        <v>3905648</v>
      </c>
      <c r="C22" s="3">
        <v>4060683</v>
      </c>
      <c r="D22" s="3">
        <v>4329793</v>
      </c>
      <c r="E22" s="3">
        <v>4928714</v>
      </c>
      <c r="F22" s="3">
        <v>4717793</v>
      </c>
      <c r="G22" s="3">
        <v>4867386</v>
      </c>
      <c r="H22" s="3">
        <v>5277114</v>
      </c>
      <c r="I22" s="3">
        <v>5369577</v>
      </c>
      <c r="J22" s="3">
        <v>5467624</v>
      </c>
      <c r="K22" s="3">
        <v>5153116</v>
      </c>
      <c r="L22" s="3">
        <v>4425184</v>
      </c>
      <c r="M22" s="3">
        <v>3612265</v>
      </c>
      <c r="N22" s="3">
        <v>2721516</v>
      </c>
      <c r="O22" s="3">
        <v>5429991</v>
      </c>
      <c r="P22" s="3">
        <v>64266404</v>
      </c>
    </row>
    <row r="23" spans="1:16" x14ac:dyDescent="0.2">
      <c r="A23">
        <v>2013</v>
      </c>
      <c r="B23" s="3">
        <v>3907728</v>
      </c>
      <c r="C23" s="3">
        <v>4063959</v>
      </c>
      <c r="D23" s="3">
        <v>4187728</v>
      </c>
      <c r="E23" s="3">
        <v>4897301</v>
      </c>
      <c r="F23" s="3">
        <v>4796348</v>
      </c>
      <c r="G23" s="3">
        <v>4759146</v>
      </c>
      <c r="H23" s="3">
        <v>5242744</v>
      </c>
      <c r="I23" s="3">
        <v>5358931</v>
      </c>
      <c r="J23" s="3">
        <v>5461332</v>
      </c>
      <c r="K23" s="3">
        <v>5043921</v>
      </c>
      <c r="L23" s="3">
        <v>4593172</v>
      </c>
      <c r="M23" s="3">
        <v>3690658</v>
      </c>
      <c r="N23" s="3">
        <v>2795632</v>
      </c>
      <c r="O23" s="3">
        <v>5822702</v>
      </c>
      <c r="P23" s="3">
        <v>64621302</v>
      </c>
    </row>
    <row r="24" spans="1:16" x14ac:dyDescent="0.2">
      <c r="A24">
        <v>2014</v>
      </c>
      <c r="B24" s="3">
        <v>3839371</v>
      </c>
      <c r="C24" s="3">
        <v>4039947</v>
      </c>
      <c r="D24" s="3">
        <v>4119570</v>
      </c>
      <c r="E24" s="3">
        <v>4808413</v>
      </c>
      <c r="F24" s="3">
        <v>4825085</v>
      </c>
      <c r="G24" s="3">
        <v>4669156</v>
      </c>
      <c r="H24" s="3">
        <v>5161330</v>
      </c>
      <c r="I24" s="3">
        <v>5313532</v>
      </c>
      <c r="J24" s="3">
        <v>5389484</v>
      </c>
      <c r="K24" s="3">
        <v>5279979</v>
      </c>
      <c r="L24" s="3">
        <v>4697357</v>
      </c>
      <c r="M24" s="3">
        <v>3724642</v>
      </c>
      <c r="N24" s="3">
        <v>3018295</v>
      </c>
      <c r="O24" s="3">
        <v>6069152</v>
      </c>
      <c r="P24" s="3">
        <v>64955313</v>
      </c>
    </row>
    <row r="25" spans="1:16" x14ac:dyDescent="0.2">
      <c r="A25">
        <v>2015</v>
      </c>
      <c r="B25" s="3">
        <v>3802074</v>
      </c>
      <c r="C25" s="3">
        <v>4012631</v>
      </c>
      <c r="D25" s="3">
        <v>4100682</v>
      </c>
      <c r="E25" s="3">
        <v>4694164</v>
      </c>
      <c r="F25" s="3">
        <v>4865381</v>
      </c>
      <c r="G25" s="3">
        <v>4649399</v>
      </c>
      <c r="H25" s="3">
        <v>5078819</v>
      </c>
      <c r="I25" s="3">
        <v>5314430</v>
      </c>
      <c r="J25" s="3">
        <v>5377292</v>
      </c>
      <c r="K25" s="3">
        <v>5300951</v>
      </c>
      <c r="L25" s="3">
        <v>4835037</v>
      </c>
      <c r="M25" s="3">
        <v>3920999</v>
      </c>
      <c r="N25" s="3">
        <v>3117901</v>
      </c>
      <c r="O25" s="3">
        <v>6357146</v>
      </c>
      <c r="P25" s="3">
        <v>65426907</v>
      </c>
    </row>
    <row r="26" spans="1:16" x14ac:dyDescent="0.2">
      <c r="A26">
        <v>2016</v>
      </c>
      <c r="B26" s="3">
        <v>3721783</v>
      </c>
      <c r="C26" s="3">
        <v>3990344</v>
      </c>
      <c r="D26" s="3">
        <v>4085628</v>
      </c>
      <c r="E26" s="3">
        <v>4530724</v>
      </c>
      <c r="F26" s="3">
        <v>4895898</v>
      </c>
      <c r="G26" s="3">
        <v>4668024</v>
      </c>
      <c r="H26" s="3">
        <v>4980957</v>
      </c>
      <c r="I26" s="3">
        <v>5295504</v>
      </c>
      <c r="J26" s="3">
        <v>5338404</v>
      </c>
      <c r="K26" s="3">
        <v>5337913</v>
      </c>
      <c r="L26" s="3">
        <v>4940503</v>
      </c>
      <c r="M26" s="3">
        <v>4113319</v>
      </c>
      <c r="N26" s="3">
        <v>3201959</v>
      </c>
      <c r="O26" s="3">
        <v>6729364</v>
      </c>
      <c r="P26" s="3">
        <v>65830324</v>
      </c>
    </row>
    <row r="27" spans="1:16" x14ac:dyDescent="0.2">
      <c r="A27">
        <v>2017</v>
      </c>
      <c r="B27" s="3">
        <v>3598812</v>
      </c>
      <c r="C27" s="3">
        <v>3987938</v>
      </c>
      <c r="D27" s="3">
        <v>4089917</v>
      </c>
      <c r="E27" s="3">
        <v>4346527</v>
      </c>
      <c r="F27" s="3">
        <v>4908758</v>
      </c>
      <c r="G27" s="3">
        <v>4725022</v>
      </c>
      <c r="H27" s="3">
        <v>4858907</v>
      </c>
      <c r="I27" s="3">
        <v>5247373</v>
      </c>
      <c r="J27" s="3">
        <v>5309324</v>
      </c>
      <c r="K27" s="3">
        <v>5370776</v>
      </c>
      <c r="L27" s="3">
        <v>5026126</v>
      </c>
      <c r="M27" s="3">
        <v>4269338</v>
      </c>
      <c r="N27" s="3">
        <v>3304958</v>
      </c>
      <c r="O27" s="3">
        <v>7016251</v>
      </c>
      <c r="P27" s="3">
        <v>66060027</v>
      </c>
    </row>
    <row r="28" spans="1:16" x14ac:dyDescent="0.2">
      <c r="A28">
        <v>2018</v>
      </c>
      <c r="B28" s="3">
        <v>3371021</v>
      </c>
      <c r="C28" s="3">
        <v>3869298</v>
      </c>
      <c r="D28" s="3">
        <v>3989396</v>
      </c>
      <c r="E28" s="3">
        <v>4103152</v>
      </c>
      <c r="F28" s="3">
        <v>4776263</v>
      </c>
      <c r="G28" s="3">
        <v>4687596</v>
      </c>
      <c r="H28" s="3">
        <v>4638055</v>
      </c>
      <c r="I28" s="3">
        <v>5098360</v>
      </c>
      <c r="J28" s="3">
        <v>5182721</v>
      </c>
      <c r="K28" s="3">
        <v>5241499</v>
      </c>
      <c r="L28" s="3">
        <v>5010724</v>
      </c>
      <c r="M28" s="3">
        <v>4310335</v>
      </c>
      <c r="N28" s="3">
        <v>3325077</v>
      </c>
      <c r="O28" s="3">
        <v>7122588</v>
      </c>
      <c r="P28" s="3">
        <v>64726085</v>
      </c>
    </row>
    <row r="29" spans="1:16" x14ac:dyDescent="0.2">
      <c r="A29">
        <v>2019</v>
      </c>
      <c r="B29" s="3">
        <v>3249920</v>
      </c>
      <c r="C29" s="3">
        <v>3830186</v>
      </c>
      <c r="D29" s="3">
        <v>3970184</v>
      </c>
      <c r="E29" s="3">
        <v>4037786</v>
      </c>
      <c r="F29" s="3">
        <v>4692493</v>
      </c>
      <c r="G29" s="3">
        <v>4731204</v>
      </c>
      <c r="H29" s="3">
        <v>4560388</v>
      </c>
      <c r="I29" s="3">
        <v>5031990</v>
      </c>
      <c r="J29" s="3">
        <v>5155507</v>
      </c>
      <c r="K29" s="3">
        <v>5202948</v>
      </c>
      <c r="L29" s="3">
        <v>5060326</v>
      </c>
      <c r="M29" s="3">
        <v>4448634</v>
      </c>
      <c r="N29" s="3">
        <v>3464158</v>
      </c>
      <c r="O29" s="3">
        <v>7437275</v>
      </c>
      <c r="P29" s="3">
        <v>64872999</v>
      </c>
    </row>
    <row r="30" spans="1:16" x14ac:dyDescent="0.2">
      <c r="A30">
        <v>2020</v>
      </c>
      <c r="B30" s="3">
        <v>3128605</v>
      </c>
      <c r="C30" s="3">
        <v>3775949</v>
      </c>
      <c r="D30" s="3">
        <v>3929938</v>
      </c>
      <c r="E30" s="3">
        <v>4006343</v>
      </c>
      <c r="F30" s="3">
        <v>4567739</v>
      </c>
      <c r="G30" s="3">
        <v>4759456</v>
      </c>
      <c r="H30" s="3">
        <v>4526517</v>
      </c>
      <c r="I30" s="3">
        <v>4936415</v>
      </c>
      <c r="J30" s="3">
        <v>5142297</v>
      </c>
      <c r="K30" s="3">
        <v>5175986</v>
      </c>
      <c r="L30" s="3">
        <v>5066507</v>
      </c>
      <c r="M30" s="3">
        <v>4567940</v>
      </c>
      <c r="N30" s="3">
        <v>3638101</v>
      </c>
      <c r="O30" s="3">
        <v>9151038</v>
      </c>
      <c r="P30" s="3">
        <v>66372831</v>
      </c>
    </row>
    <row r="31" spans="1:16" x14ac:dyDescent="0.2">
      <c r="A31">
        <v>2021</v>
      </c>
      <c r="B31" s="3">
        <v>3002050</v>
      </c>
      <c r="C31" s="3">
        <v>3685847</v>
      </c>
      <c r="D31" s="3">
        <v>3901042</v>
      </c>
      <c r="E31" s="3">
        <v>3985373</v>
      </c>
      <c r="F31" s="3">
        <v>4402476</v>
      </c>
      <c r="G31" s="3">
        <v>4783791</v>
      </c>
      <c r="H31" s="3">
        <v>4538584</v>
      </c>
      <c r="I31" s="3">
        <v>4831877</v>
      </c>
      <c r="J31" s="3">
        <v>5116027</v>
      </c>
      <c r="K31" s="3">
        <v>5128554</v>
      </c>
      <c r="L31" s="3">
        <v>5093090</v>
      </c>
      <c r="M31" s="3">
        <v>4660957</v>
      </c>
      <c r="N31" s="3">
        <v>3812080</v>
      </c>
      <c r="O31" s="3">
        <v>9237335</v>
      </c>
      <c r="P31" s="3">
        <v>66179083</v>
      </c>
    </row>
    <row r="32" spans="1:16" x14ac:dyDescent="0.2">
      <c r="A32">
        <v>2022</v>
      </c>
      <c r="B32" s="3">
        <v>2849971</v>
      </c>
      <c r="C32" s="3">
        <v>3558725</v>
      </c>
      <c r="D32" s="3">
        <v>3895566</v>
      </c>
      <c r="E32" s="3">
        <v>3986357</v>
      </c>
      <c r="F32" s="3">
        <v>4219252</v>
      </c>
      <c r="G32" s="3">
        <v>4794222</v>
      </c>
      <c r="H32" s="3">
        <v>4593288</v>
      </c>
      <c r="I32" s="3">
        <v>4706901</v>
      </c>
      <c r="J32" s="3">
        <v>5064422</v>
      </c>
      <c r="K32" s="3">
        <v>5093377</v>
      </c>
      <c r="L32" s="3">
        <v>5117831</v>
      </c>
      <c r="M32" s="3">
        <v>4736375</v>
      </c>
      <c r="N32" s="3">
        <v>3952987</v>
      </c>
      <c r="O32" s="3">
        <v>8342917</v>
      </c>
      <c r="P32" s="3">
        <v>66130957</v>
      </c>
    </row>
    <row r="33" spans="1:16" x14ac:dyDescent="0.2">
      <c r="A33" s="9">
        <v>2023</v>
      </c>
      <c r="B33" s="10">
        <v>2849971</v>
      </c>
      <c r="C33" s="10">
        <v>3558725</v>
      </c>
      <c r="D33" s="10">
        <v>3895566</v>
      </c>
      <c r="E33" s="10">
        <v>3986357</v>
      </c>
      <c r="F33" s="10">
        <v>4219252</v>
      </c>
      <c r="G33" s="10">
        <v>4794222</v>
      </c>
      <c r="H33" s="10">
        <v>4593288</v>
      </c>
      <c r="I33" s="10">
        <v>4706901</v>
      </c>
      <c r="J33" s="10">
        <v>5064422</v>
      </c>
      <c r="K33" s="10">
        <v>5093377</v>
      </c>
      <c r="L33" s="10">
        <v>5117831</v>
      </c>
      <c r="M33" s="10">
        <v>4736375</v>
      </c>
      <c r="N33" s="10">
        <v>3952987</v>
      </c>
      <c r="O33" s="10">
        <v>8342917</v>
      </c>
      <c r="P33" s="10">
        <v>66130957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F17DC-DBF5-4168-94ED-472017971344}">
  <dimension ref="A1:X33"/>
  <sheetViews>
    <sheetView topLeftCell="A3" workbookViewId="0">
      <selection activeCell="J25" sqref="J25"/>
    </sheetView>
  </sheetViews>
  <sheetFormatPr defaultRowHeight="14.25" x14ac:dyDescent="0.2"/>
  <cols>
    <col min="1" max="1" width="9.125" customWidth="1"/>
    <col min="2" max="2" width="12.625" customWidth="1"/>
    <col min="3" max="12" width="10.375" bestFit="1" customWidth="1"/>
    <col min="13" max="13" width="13.5" customWidth="1"/>
    <col min="14" max="14" width="13.75" customWidth="1"/>
    <col min="15" max="15" width="10.375" customWidth="1"/>
    <col min="16" max="16" width="13.875" customWidth="1"/>
    <col min="23" max="23" width="10.875" customWidth="1"/>
    <col min="24" max="24" width="11.375" customWidth="1"/>
  </cols>
  <sheetData>
    <row r="1" spans="1:24" ht="27.75" x14ac:dyDescent="0.4">
      <c r="A1" s="8" t="s">
        <v>31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2">
      <c r="A2" t="s">
        <v>18</v>
      </c>
      <c r="B2" t="s">
        <v>1</v>
      </c>
      <c r="C2" s="1" t="s">
        <v>14</v>
      </c>
      <c r="D2" s="1" t="s">
        <v>15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33</v>
      </c>
      <c r="P2" s="7" t="s">
        <v>22</v>
      </c>
      <c r="Q2" s="7" t="s">
        <v>23</v>
      </c>
      <c r="R2" s="7" t="s">
        <v>24</v>
      </c>
      <c r="S2" s="7" t="s">
        <v>25</v>
      </c>
      <c r="T2" s="7" t="s">
        <v>26</v>
      </c>
      <c r="U2" s="7" t="s">
        <v>27</v>
      </c>
      <c r="V2" s="7" t="s">
        <v>28</v>
      </c>
      <c r="W2" s="7" t="s">
        <v>29</v>
      </c>
      <c r="X2" s="7" t="s">
        <v>30</v>
      </c>
    </row>
    <row r="3" spans="1:24" x14ac:dyDescent="0.2">
      <c r="A3">
        <v>2022</v>
      </c>
      <c r="B3" s="7">
        <v>3301763</v>
      </c>
      <c r="C3" s="7">
        <v>3760624</v>
      </c>
      <c r="D3" s="7">
        <v>4064816</v>
      </c>
      <c r="E3" s="7">
        <v>4103496</v>
      </c>
      <c r="F3" s="7">
        <v>4555645</v>
      </c>
      <c r="G3" s="7">
        <v>5075859</v>
      </c>
      <c r="H3" s="7">
        <v>5061667</v>
      </c>
      <c r="I3" s="7">
        <v>5136065</v>
      </c>
      <c r="J3" s="7">
        <v>5175043</v>
      </c>
      <c r="K3" s="7">
        <v>5024974</v>
      </c>
      <c r="L3" s="7">
        <v>5366235</v>
      </c>
      <c r="M3" s="7">
        <v>5297548</v>
      </c>
      <c r="N3" s="7">
        <v>4866495</v>
      </c>
      <c r="O3" s="3">
        <f t="shared" ref="O3:O7" si="0">SUM(P3:W3)</f>
        <v>10906788</v>
      </c>
      <c r="P3" s="7">
        <v>3858239</v>
      </c>
      <c r="Q3" s="7">
        <v>2803334</v>
      </c>
      <c r="R3" s="7">
        <v>1768247</v>
      </c>
      <c r="S3" s="7">
        <v>1244337</v>
      </c>
      <c r="T3" s="7">
        <v>742052</v>
      </c>
      <c r="U3" s="7">
        <v>345720</v>
      </c>
      <c r="V3" s="7">
        <v>113825</v>
      </c>
      <c r="W3" s="7">
        <v>31034</v>
      </c>
      <c r="X3">
        <f>SUM(A3:W3)</f>
        <v>82605828</v>
      </c>
    </row>
    <row r="4" spans="1:24" x14ac:dyDescent="0.2">
      <c r="A4">
        <v>2023</v>
      </c>
      <c r="B4" s="7">
        <v>3233701</v>
      </c>
      <c r="C4" s="7">
        <v>3656637</v>
      </c>
      <c r="D4" s="7">
        <v>4041586</v>
      </c>
      <c r="E4" s="7">
        <v>4086198</v>
      </c>
      <c r="F4" s="7">
        <v>4405616</v>
      </c>
      <c r="G4" s="7">
        <v>5063692</v>
      </c>
      <c r="H4" s="7">
        <v>5048311</v>
      </c>
      <c r="I4" s="7">
        <v>5066938</v>
      </c>
      <c r="J4" s="7">
        <v>5213020</v>
      </c>
      <c r="K4" s="7">
        <v>4991459</v>
      </c>
      <c r="L4" s="7">
        <v>5288840</v>
      </c>
      <c r="M4" s="7">
        <v>5300153</v>
      </c>
      <c r="N4" s="7">
        <v>4947034</v>
      </c>
      <c r="O4" s="3">
        <f t="shared" si="0"/>
        <v>11458085</v>
      </c>
      <c r="P4" s="7">
        <v>4036402</v>
      </c>
      <c r="Q4" s="7">
        <v>2941114</v>
      </c>
      <c r="R4" s="7">
        <v>1896460</v>
      </c>
      <c r="S4" s="7">
        <v>1272028</v>
      </c>
      <c r="T4" s="7">
        <v>777035</v>
      </c>
      <c r="U4" s="7">
        <v>372838</v>
      </c>
      <c r="V4" s="7">
        <v>128154</v>
      </c>
      <c r="W4" s="7">
        <v>34054</v>
      </c>
      <c r="X4">
        <f>SUM(A4:W4)</f>
        <v>83261378</v>
      </c>
    </row>
    <row r="5" spans="1:24" x14ac:dyDescent="0.2">
      <c r="B5" s="1"/>
      <c r="O5" s="2"/>
    </row>
    <row r="6" spans="1:24" x14ac:dyDescent="0.2">
      <c r="B6" s="1"/>
      <c r="O6" s="2"/>
    </row>
    <row r="7" spans="1:24" x14ac:dyDescent="0.2">
      <c r="B7" s="1"/>
      <c r="O7" s="2"/>
    </row>
    <row r="8" spans="1:24" ht="27.75" x14ac:dyDescent="0.4">
      <c r="A8" s="8" t="s">
        <v>32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spans="1:24" x14ac:dyDescent="0.2">
      <c r="A9" t="s">
        <v>18</v>
      </c>
      <c r="B9" t="s">
        <v>1</v>
      </c>
      <c r="C9" s="1" t="s">
        <v>14</v>
      </c>
      <c r="D9" s="1" t="s">
        <v>15</v>
      </c>
      <c r="E9" t="s">
        <v>2</v>
      </c>
      <c r="F9" t="s">
        <v>3</v>
      </c>
      <c r="G9" t="s">
        <v>4</v>
      </c>
      <c r="H9" t="s">
        <v>5</v>
      </c>
      <c r="I9" t="s">
        <v>6</v>
      </c>
      <c r="J9" t="s">
        <v>7</v>
      </c>
      <c r="K9" t="s">
        <v>8</v>
      </c>
      <c r="L9" t="s">
        <v>9</v>
      </c>
      <c r="M9" t="s">
        <v>10</v>
      </c>
      <c r="N9" t="s">
        <v>11</v>
      </c>
      <c r="O9" t="s">
        <v>33</v>
      </c>
      <c r="P9" s="7" t="s">
        <v>22</v>
      </c>
      <c r="Q9" s="7" t="s">
        <v>23</v>
      </c>
      <c r="R9" s="7" t="s">
        <v>24</v>
      </c>
      <c r="S9" s="7" t="s">
        <v>25</v>
      </c>
      <c r="T9" s="7" t="s">
        <v>26</v>
      </c>
      <c r="U9" s="7" t="s">
        <v>27</v>
      </c>
      <c r="V9" s="7" t="s">
        <v>28</v>
      </c>
      <c r="W9" s="7" t="s">
        <v>29</v>
      </c>
      <c r="X9" s="7" t="s">
        <v>30</v>
      </c>
    </row>
    <row r="10" spans="1:24" x14ac:dyDescent="0.2">
      <c r="A10">
        <v>2022</v>
      </c>
      <c r="B10" s="2">
        <f>B3/$X$3</f>
        <v>3.99700975093428E-2</v>
      </c>
      <c r="C10" s="2">
        <f t="shared" ref="C10:X10" si="1">C3/$X$3</f>
        <v>4.5524923495712674E-2</v>
      </c>
      <c r="D10" s="2">
        <f t="shared" si="1"/>
        <v>4.92073755377163E-2</v>
      </c>
      <c r="E10" s="2">
        <f t="shared" si="1"/>
        <v>4.9675623371271092E-2</v>
      </c>
      <c r="F10" s="2">
        <f t="shared" si="1"/>
        <v>5.514919601072215E-2</v>
      </c>
      <c r="G10" s="2">
        <f t="shared" si="1"/>
        <v>6.1446741990165636E-2</v>
      </c>
      <c r="H10" s="2">
        <f t="shared" si="1"/>
        <v>6.1274938131483894E-2</v>
      </c>
      <c r="I10" s="2">
        <f t="shared" si="1"/>
        <v>6.2175576764390041E-2</v>
      </c>
      <c r="J10" s="2">
        <f t="shared" si="1"/>
        <v>6.2647432091595276E-2</v>
      </c>
      <c r="K10" s="2">
        <f t="shared" si="1"/>
        <v>6.0830744290826549E-2</v>
      </c>
      <c r="L10" s="2">
        <f t="shared" si="1"/>
        <v>6.4961941910442439E-2</v>
      </c>
      <c r="M10" s="2">
        <f t="shared" si="1"/>
        <v>6.4130438835380957E-2</v>
      </c>
      <c r="N10" s="2">
        <f t="shared" si="1"/>
        <v>5.8912247692741483E-2</v>
      </c>
      <c r="O10" s="2">
        <f t="shared" si="1"/>
        <v>0.13203412233819628</v>
      </c>
      <c r="P10" s="2">
        <f t="shared" si="1"/>
        <v>4.670661977990221E-2</v>
      </c>
      <c r="Q10" s="2">
        <f t="shared" si="1"/>
        <v>3.3936273842567137E-2</v>
      </c>
      <c r="R10" s="2">
        <f t="shared" si="1"/>
        <v>2.1405838338670245E-2</v>
      </c>
      <c r="S10" s="2">
        <f t="shared" si="1"/>
        <v>1.5063549753414493E-2</v>
      </c>
      <c r="T10" s="2">
        <f t="shared" si="1"/>
        <v>8.9830465714840369E-3</v>
      </c>
      <c r="U10" s="2">
        <f t="shared" si="1"/>
        <v>4.1851768618553159E-3</v>
      </c>
      <c r="V10" s="2">
        <f t="shared" si="1"/>
        <v>1.3779294119538395E-3</v>
      </c>
      <c r="W10" s="2">
        <f t="shared" si="1"/>
        <v>3.7568777834900464E-4</v>
      </c>
      <c r="X10" s="2">
        <f t="shared" si="1"/>
        <v>1</v>
      </c>
    </row>
    <row r="11" spans="1:24" x14ac:dyDescent="0.2">
      <c r="A11">
        <v>2023</v>
      </c>
      <c r="B11" s="2">
        <f>B4/$X$4</f>
        <v>3.8837947169214522E-2</v>
      </c>
      <c r="C11" s="2">
        <f t="shared" ref="C11:X11" si="2">C4/$X$4</f>
        <v>4.3917565236549411E-2</v>
      </c>
      <c r="D11" s="2">
        <f t="shared" si="2"/>
        <v>4.8540945358843325E-2</v>
      </c>
      <c r="E11" s="2">
        <f t="shared" si="2"/>
        <v>4.9076752008596354E-2</v>
      </c>
      <c r="F11" s="2">
        <f t="shared" si="2"/>
        <v>5.2913080540175544E-2</v>
      </c>
      <c r="G11" s="2">
        <f t="shared" si="2"/>
        <v>6.0816817132188228E-2</v>
      </c>
      <c r="H11" s="2">
        <f t="shared" si="2"/>
        <v>6.0632085623180537E-2</v>
      </c>
      <c r="I11" s="2">
        <f t="shared" si="2"/>
        <v>6.0855802794904497E-2</v>
      </c>
      <c r="J11" s="2">
        <f t="shared" si="2"/>
        <v>6.2610301741582997E-2</v>
      </c>
      <c r="K11" s="2">
        <f t="shared" si="2"/>
        <v>5.9949272038231222E-2</v>
      </c>
      <c r="L11" s="2">
        <f t="shared" si="2"/>
        <v>6.3520928034604476E-2</v>
      </c>
      <c r="M11" s="2">
        <f t="shared" si="2"/>
        <v>6.3656801356326342E-2</v>
      </c>
      <c r="N11" s="2">
        <f t="shared" si="2"/>
        <v>5.9415711327765915E-2</v>
      </c>
      <c r="O11" s="2">
        <f t="shared" si="2"/>
        <v>0.13761584632913473</v>
      </c>
      <c r="P11" s="2">
        <f t="shared" si="2"/>
        <v>4.8478683598054309E-2</v>
      </c>
      <c r="Q11" s="2">
        <f t="shared" si="2"/>
        <v>3.5323868889126482E-2</v>
      </c>
      <c r="R11" s="2">
        <f t="shared" si="2"/>
        <v>2.2777187281238606E-2</v>
      </c>
      <c r="S11" s="2">
        <f t="shared" si="2"/>
        <v>1.5277527595087364E-2</v>
      </c>
      <c r="T11" s="2">
        <f t="shared" si="2"/>
        <v>9.3324782590074352E-3</v>
      </c>
      <c r="U11" s="2">
        <f t="shared" si="2"/>
        <v>4.4779225248950359E-3</v>
      </c>
      <c r="V11" s="2">
        <f t="shared" si="2"/>
        <v>1.5391770239498077E-3</v>
      </c>
      <c r="W11" s="2">
        <f t="shared" si="2"/>
        <v>4.0900115777569765E-4</v>
      </c>
      <c r="X11" s="2">
        <f t="shared" si="2"/>
        <v>1</v>
      </c>
    </row>
    <row r="12" spans="1:24" x14ac:dyDescent="0.2">
      <c r="B12" s="1"/>
    </row>
    <row r="13" spans="1:24" x14ac:dyDescent="0.2">
      <c r="B13" s="1"/>
    </row>
    <row r="14" spans="1:24" x14ac:dyDescent="0.2">
      <c r="B14" s="1"/>
    </row>
    <row r="15" spans="1:24" ht="27.75" x14ac:dyDescent="0.4">
      <c r="A15" s="8" t="s">
        <v>34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</row>
    <row r="16" spans="1:24" x14ac:dyDescent="0.2">
      <c r="A16" t="s">
        <v>18</v>
      </c>
      <c r="B16" t="s">
        <v>1</v>
      </c>
      <c r="C16" s="1" t="s">
        <v>14</v>
      </c>
      <c r="D16" s="1" t="s">
        <v>15</v>
      </c>
      <c r="E16" t="s">
        <v>2</v>
      </c>
      <c r="F16" t="s">
        <v>3</v>
      </c>
      <c r="G16" t="s">
        <v>4</v>
      </c>
      <c r="H16" t="s">
        <v>5</v>
      </c>
      <c r="I16" t="s">
        <v>6</v>
      </c>
      <c r="J16" t="s">
        <v>7</v>
      </c>
      <c r="K16" t="s">
        <v>8</v>
      </c>
      <c r="L16" t="s">
        <v>9</v>
      </c>
      <c r="M16" t="s">
        <v>10</v>
      </c>
      <c r="N16" t="s">
        <v>11</v>
      </c>
      <c r="O16" t="s">
        <v>33</v>
      </c>
      <c r="P16" s="7" t="s">
        <v>35</v>
      </c>
      <c r="Q16" s="7"/>
      <c r="R16" s="7"/>
      <c r="S16" s="7"/>
      <c r="T16" s="7"/>
      <c r="U16" s="7"/>
      <c r="V16" s="7"/>
      <c r="W16" s="7"/>
      <c r="X16" s="7"/>
    </row>
    <row r="17" spans="1:24" x14ac:dyDescent="0.2">
      <c r="A17">
        <v>2022</v>
      </c>
      <c r="B17" s="3">
        <f>B10*$P$17</f>
        <v>2644878.869163529</v>
      </c>
      <c r="C17" s="3">
        <f t="shared" ref="C17:O17" si="3">C10*$P$17</f>
        <v>3012449.6980762179</v>
      </c>
      <c r="D17" s="3">
        <f t="shared" si="3"/>
        <v>3256122.8487440865</v>
      </c>
      <c r="E17" s="3">
        <f t="shared" si="3"/>
        <v>3287107.4816990392</v>
      </c>
      <c r="F17" s="3">
        <f t="shared" si="3"/>
        <v>3649301.6597225443</v>
      </c>
      <c r="G17" s="3">
        <f t="shared" si="3"/>
        <v>4066019.339350984</v>
      </c>
      <c r="H17" s="3">
        <f t="shared" si="3"/>
        <v>4054650.8307962604</v>
      </c>
      <c r="I17" s="3">
        <f t="shared" si="3"/>
        <v>4114247.3851546529</v>
      </c>
      <c r="J17" s="3">
        <f t="shared" si="3"/>
        <v>4145470.731155639</v>
      </c>
      <c r="K17" s="3">
        <f t="shared" si="3"/>
        <v>4025257.8851650273</v>
      </c>
      <c r="L17" s="3">
        <f t="shared" si="3"/>
        <v>4298625.1764483852</v>
      </c>
      <c r="M17" s="3">
        <f t="shared" si="3"/>
        <v>4243603.4214386418</v>
      </c>
      <c r="N17" s="3">
        <f t="shared" si="3"/>
        <v>3898308.2045531338</v>
      </c>
      <c r="O17" s="3">
        <f t="shared" si="3"/>
        <v>8736887.872220492</v>
      </c>
      <c r="P17" s="3">
        <v>66171439</v>
      </c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>
        <v>2023</v>
      </c>
      <c r="B18" s="3">
        <f>B11*$P$18</f>
        <v>2568390.6142155975</v>
      </c>
      <c r="C18" s="3">
        <f t="shared" ref="C18:O18" si="4">C11*$P$18</f>
        <v>2904310.6182029438</v>
      </c>
      <c r="D18" s="3">
        <f t="shared" si="4"/>
        <v>3210059.1702650175</v>
      </c>
      <c r="E18" s="3">
        <f t="shared" si="4"/>
        <v>3245492.5767801492</v>
      </c>
      <c r="F18" s="3">
        <f t="shared" si="4"/>
        <v>3499192.6539398856</v>
      </c>
      <c r="G18" s="3">
        <f t="shared" si="4"/>
        <v>4021874.318645603</v>
      </c>
      <c r="H18" s="3">
        <f t="shared" si="4"/>
        <v>4009657.8471668703</v>
      </c>
      <c r="I18" s="3">
        <f t="shared" si="4"/>
        <v>4024452.477830309</v>
      </c>
      <c r="J18" s="3">
        <f t="shared" si="4"/>
        <v>4140479.1722296504</v>
      </c>
      <c r="K18" s="3">
        <f t="shared" si="4"/>
        <v>3964502.7313415711</v>
      </c>
      <c r="L18" s="3">
        <f t="shared" si="4"/>
        <v>4200699.7604565229</v>
      </c>
      <c r="M18" s="3">
        <f t="shared" si="4"/>
        <v>4209685.1932527591</v>
      </c>
      <c r="N18" s="3">
        <f t="shared" si="4"/>
        <v>3929217.8509409004</v>
      </c>
      <c r="O18" s="3">
        <f t="shared" si="4"/>
        <v>9100667.6161106173</v>
      </c>
      <c r="P18" s="3">
        <v>66130957</v>
      </c>
      <c r="Q18" s="2"/>
      <c r="R18" s="2"/>
      <c r="S18" s="2"/>
      <c r="T18" s="2"/>
      <c r="U18" s="2"/>
      <c r="V18" s="2"/>
      <c r="W18" s="2"/>
      <c r="X18" s="2"/>
    </row>
    <row r="19" spans="1:24" x14ac:dyDescent="0.2">
      <c r="B19" s="1"/>
    </row>
    <row r="20" spans="1:24" x14ac:dyDescent="0.2">
      <c r="B20" s="1"/>
    </row>
    <row r="21" spans="1:24" x14ac:dyDescent="0.2">
      <c r="B21" s="1"/>
    </row>
    <row r="22" spans="1:24" x14ac:dyDescent="0.2">
      <c r="B22" s="1"/>
    </row>
    <row r="23" spans="1:24" x14ac:dyDescent="0.2">
      <c r="B23" s="1"/>
    </row>
    <row r="24" spans="1:24" x14ac:dyDescent="0.2">
      <c r="B24" s="1"/>
    </row>
    <row r="25" spans="1:24" x14ac:dyDescent="0.2">
      <c r="B25" s="1"/>
    </row>
    <row r="26" spans="1:24" x14ac:dyDescent="0.2">
      <c r="B26" s="1"/>
    </row>
    <row r="27" spans="1:24" x14ac:dyDescent="0.2">
      <c r="B27" s="1"/>
    </row>
    <row r="28" spans="1:24" x14ac:dyDescent="0.2">
      <c r="B28" s="1"/>
    </row>
    <row r="29" spans="1:24" x14ac:dyDescent="0.2">
      <c r="B29" s="1"/>
    </row>
    <row r="30" spans="1:24" x14ac:dyDescent="0.2">
      <c r="B30" s="1"/>
    </row>
    <row r="31" spans="1:24" x14ac:dyDescent="0.2">
      <c r="B31" s="1"/>
    </row>
    <row r="32" spans="1:24" x14ac:dyDescent="0.2">
      <c r="B32" s="1"/>
    </row>
    <row r="33" spans="2:2" x14ac:dyDescent="0.2">
      <c r="B33" s="1"/>
    </row>
  </sheetData>
  <mergeCells count="3">
    <mergeCell ref="A1:X1"/>
    <mergeCell ref="A8:X8"/>
    <mergeCell ref="A15:X15"/>
  </mergeCells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EA482-6B4D-415D-9895-A94933E586DE}">
  <dimension ref="A1"/>
  <sheetViews>
    <sheetView tabSelected="1"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Introduction</vt:lpstr>
      <vt:lpstr>age</vt:lpstr>
      <vt:lpstr>age_un</vt:lpstr>
      <vt:lpstr>province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kg L</cp:lastModifiedBy>
  <dcterms:created xsi:type="dcterms:W3CDTF">2015-06-05T18:19:34Z</dcterms:created>
  <dcterms:modified xsi:type="dcterms:W3CDTF">2024-09-20T00:59:57Z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2024-09-19T08:59:44Z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e5e29966-e1ea-4ab7-8e21-42a83b9ba091</vt:lpwstr>
  </property>
  <property fmtid="{D5CDD505-2E9C-101B-9397-08002B2CF9AE}" pid="8" name="MSIP_Label_defa4170-0d19-0005-0004-bc88714345d2_ContentBits">
    <vt:lpwstr>0</vt:lpwstr>
  </property>
</Properties>
</file>