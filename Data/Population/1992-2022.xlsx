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6kmwxn-my.sharepoint.com/personal/kanggle_globalinfectiousdisease_com/Documents/XMU/likangguo/2024/13 NIDS TH/Code/Data/Population/"/>
    </mc:Choice>
  </mc:AlternateContent>
  <xr:revisionPtr revIDLastSave="279" documentId="11_AD4DA82427541F7ACA7EB83DB8CE2D986AE8DE17" xr6:coauthVersionLast="47" xr6:coauthVersionMax="47" xr10:uidLastSave="{A7ED4269-DAD9-4462-9160-3A5E477A3B34}"/>
  <bookViews>
    <workbookView xWindow="-108" yWindow="-108" windowWidth="23256" windowHeight="12576" xr2:uid="{00000000-000D-0000-FFFF-FFFF00000000}"/>
  </bookViews>
  <sheets>
    <sheet name="Introduction" sheetId="2" r:id="rId1"/>
    <sheet name="age" sheetId="1" r:id="rId2"/>
    <sheet name="province" sheetId="4" r:id="rId3"/>
    <sheet name="age_u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3" l="1"/>
  <c r="O10" i="3"/>
  <c r="P10" i="3"/>
  <c r="P11" i="3"/>
  <c r="O3" i="3"/>
  <c r="O4" i="3"/>
  <c r="X4" i="3"/>
  <c r="C11" i="3" s="1"/>
  <c r="C18" i="3" s="1"/>
  <c r="X3" i="3"/>
  <c r="E10" i="3" s="1"/>
  <c r="E17" i="3" s="1"/>
  <c r="M11" i="3" l="1"/>
  <c r="M18" i="3" s="1"/>
  <c r="L11" i="3"/>
  <c r="L18" i="3" s="1"/>
  <c r="C10" i="3"/>
  <c r="C17" i="3" s="1"/>
  <c r="K11" i="3"/>
  <c r="K18" i="3" s="1"/>
  <c r="N11" i="3"/>
  <c r="N18" i="3" s="1"/>
  <c r="D10" i="3"/>
  <c r="D17" i="3" s="1"/>
  <c r="M10" i="3"/>
  <c r="M17" i="3" s="1"/>
  <c r="J11" i="3"/>
  <c r="J18" i="3" s="1"/>
  <c r="X10" i="3"/>
  <c r="K10" i="3"/>
  <c r="K17" i="3" s="1"/>
  <c r="V11" i="3"/>
  <c r="I11" i="3"/>
  <c r="I18" i="3" s="1"/>
  <c r="H11" i="3"/>
  <c r="H18" i="3" s="1"/>
  <c r="B10" i="3"/>
  <c r="B17" i="3" s="1"/>
  <c r="W10" i="3"/>
  <c r="V10" i="3"/>
  <c r="I10" i="3"/>
  <c r="I17" i="3" s="1"/>
  <c r="T11" i="3"/>
  <c r="G11" i="3"/>
  <c r="G18" i="3" s="1"/>
  <c r="X11" i="3"/>
  <c r="J10" i="3"/>
  <c r="J17" i="3" s="1"/>
  <c r="U10" i="3"/>
  <c r="H10" i="3"/>
  <c r="H17" i="3" s="1"/>
  <c r="S11" i="3"/>
  <c r="F11" i="3"/>
  <c r="F18" i="3" s="1"/>
  <c r="Q10" i="3"/>
  <c r="N10" i="3"/>
  <c r="N17" i="3" s="1"/>
  <c r="U11" i="3"/>
  <c r="T10" i="3"/>
  <c r="G10" i="3"/>
  <c r="G17" i="3" s="1"/>
  <c r="R11" i="3"/>
  <c r="E11" i="3"/>
  <c r="E18" i="3" s="1"/>
  <c r="B11" i="3"/>
  <c r="B18" i="3" s="1"/>
  <c r="L10" i="3"/>
  <c r="L17" i="3" s="1"/>
  <c r="S10" i="3"/>
  <c r="F10" i="3"/>
  <c r="F17" i="3" s="1"/>
  <c r="Q11" i="3"/>
  <c r="D11" i="3"/>
  <c r="D18" i="3" s="1"/>
  <c r="W11" i="3"/>
  <c r="R10" i="3"/>
  <c r="O17" i="3" l="1"/>
  <c r="O18" i="3"/>
</calcChain>
</file>

<file path=xl/sharedStrings.xml><?xml version="1.0" encoding="utf-8"?>
<sst xmlns="http://schemas.openxmlformats.org/spreadsheetml/2006/main" count="170" uniqueCount="115">
  <si>
    <t>YEAR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</si>
  <si>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</si>
  <si>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</si>
  <si>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</si>
  <si>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</si>
  <si>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</si>
  <si>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</si>
  <si>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</si>
  <si>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</si>
  <si>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</si>
  <si>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</si>
  <si>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</si>
  <si>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+</t>
  </si>
  <si>
    <t>Total</t>
  </si>
  <si>
    <t>5-9</t>
    <phoneticPr fontId="1" type="noConversion"/>
  </si>
  <si>
    <t>10-14</t>
    <phoneticPr fontId="1" type="noConversion"/>
  </si>
  <si>
    <t>Age group</t>
    <phoneticPr fontId="1" type="noConversion"/>
  </si>
  <si>
    <t>Province group</t>
    <phoneticPr fontId="1" type="noConversion"/>
  </si>
  <si>
    <t>Year</t>
    <phoneticPr fontId="1" type="noConversion"/>
  </si>
  <si>
    <t>1992-2022</t>
    <phoneticPr fontId="1" type="noConversion"/>
  </si>
  <si>
    <t>Part 3 of Annual epidemiological surveillance report 2022 (https://apps-doe.moph.go.th/boeeng/annual.php)</t>
    <phoneticPr fontId="1" type="noConversion"/>
  </si>
  <si>
    <t>Number and rate per 100,000 population of cases and deaths by province (http://doe.moph.go.th/surdata/index.php)</t>
    <phoneticPr fontId="1" type="noConversion"/>
  </si>
  <si>
    <t>65-69</t>
  </si>
  <si>
    <t>70-74</t>
  </si>
  <si>
    <t>75-79</t>
  </si>
  <si>
    <t>80-84</t>
  </si>
  <si>
    <t>85-89</t>
  </si>
  <si>
    <t>90-94</t>
  </si>
  <si>
    <t>95-99</t>
  </si>
  <si>
    <t>100+</t>
  </si>
  <si>
    <t>total</t>
    <phoneticPr fontId="1" type="noConversion"/>
  </si>
  <si>
    <t>Data from https://www.populationpyramid.net/thailand/</t>
    <phoneticPr fontId="1" type="noConversion"/>
  </si>
  <si>
    <t>Percentage of each group</t>
    <phoneticPr fontId="1" type="noConversion"/>
  </si>
  <si>
    <t>65+</t>
    <phoneticPr fontId="1" type="noConversion"/>
  </si>
  <si>
    <t>Estimation of each group</t>
    <phoneticPr fontId="1" type="noConversion"/>
  </si>
  <si>
    <t>Total</t>
    <phoneticPr fontId="1" type="noConversion"/>
  </si>
  <si>
    <t>Using 2022 to represent 2023</t>
    <phoneticPr fontId="1" type="noConversion"/>
  </si>
  <si>
    <t>Year</t>
  </si>
  <si>
    <t>Bangkok</t>
  </si>
  <si>
    <t>Nonthaburi</t>
  </si>
  <si>
    <t>P.Nakhon S.Ayutthaya</t>
  </si>
  <si>
    <t>Pathum Thani</t>
  </si>
  <si>
    <t>Saraburi</t>
  </si>
  <si>
    <t>Ang Thong</t>
  </si>
  <si>
    <t>Chai Nat</t>
  </si>
  <si>
    <t>Lop Buri</t>
  </si>
  <si>
    <t>Sing Buri</t>
  </si>
  <si>
    <t>Chachoengsao</t>
  </si>
  <si>
    <t>Nakhon Nayok</t>
  </si>
  <si>
    <t>Prachin Buri</t>
  </si>
  <si>
    <t>Sa Kaeo</t>
  </si>
  <si>
    <t>Samut Prakan</t>
  </si>
  <si>
    <t>Kanchanaburi</t>
  </si>
  <si>
    <t>Nakhon Pathom</t>
  </si>
  <si>
    <t>Ratchaburi</t>
  </si>
  <si>
    <t>Suphan Buri</t>
  </si>
  <si>
    <t>Phetchaburi</t>
  </si>
  <si>
    <t>Prachuap Khiri Khan</t>
  </si>
  <si>
    <t>Samut Sakhon</t>
  </si>
  <si>
    <t>Samut Songkhram</t>
  </si>
  <si>
    <t>Chanthaburi</t>
  </si>
  <si>
    <t>Chon Buri</t>
  </si>
  <si>
    <t>Rayong</t>
  </si>
  <si>
    <t>Trat</t>
  </si>
  <si>
    <t>Chumphon</t>
  </si>
  <si>
    <t>Nakhon Si Thammarat</t>
  </si>
  <si>
    <t>Phatthalung</t>
  </si>
  <si>
    <t>Surat Thani</t>
  </si>
  <si>
    <t>Krabi</t>
  </si>
  <si>
    <t>Phangnga</t>
  </si>
  <si>
    <t>Phuket</t>
  </si>
  <si>
    <t>Ranong</t>
  </si>
  <si>
    <t>Trang</t>
  </si>
  <si>
    <t>Narathiwat</t>
  </si>
  <si>
    <t>Pattani</t>
  </si>
  <si>
    <t>Satun</t>
  </si>
  <si>
    <t>Songkhla</t>
  </si>
  <si>
    <t>Yala</t>
  </si>
  <si>
    <t>Bungkan</t>
  </si>
  <si>
    <t>Loei</t>
  </si>
  <si>
    <t>Nong Bua Lam Phu</t>
  </si>
  <si>
    <t>Nong Khai</t>
  </si>
  <si>
    <t>Udon Thani</t>
  </si>
  <si>
    <t>Mukdahan</t>
  </si>
  <si>
    <t>Nakhon Phanom</t>
  </si>
  <si>
    <t>Sakon Nakhon</t>
  </si>
  <si>
    <t>Kalasin</t>
  </si>
  <si>
    <t>Khon Kaen</t>
  </si>
  <si>
    <t>Maha Sarakham</t>
  </si>
  <si>
    <t>Roi Et</t>
  </si>
  <si>
    <t>Amnat Charoen</t>
  </si>
  <si>
    <t>Si Sa Ket</t>
  </si>
  <si>
    <t>Ubon Ratchathani</t>
  </si>
  <si>
    <t>Yasothon</t>
  </si>
  <si>
    <t>Buri Ram</t>
  </si>
  <si>
    <t>Chaiyaphum</t>
  </si>
  <si>
    <t>Nakhon Ratchasima</t>
  </si>
  <si>
    <t>Surin</t>
  </si>
  <si>
    <t>Chiang Mai</t>
  </si>
  <si>
    <t>Lampang</t>
  </si>
  <si>
    <t>Lamphun</t>
  </si>
  <si>
    <t>Mae Hong Son</t>
  </si>
  <si>
    <t>Chiang Rai</t>
  </si>
  <si>
    <t>Nan</t>
  </si>
  <si>
    <t>Phayao</t>
  </si>
  <si>
    <t>Phrae</t>
  </si>
  <si>
    <t>Phetchabun</t>
  </si>
  <si>
    <t>Phitsanulok</t>
  </si>
  <si>
    <t>Sukhothai</t>
  </si>
  <si>
    <t>Tak</t>
  </si>
  <si>
    <t>Uttaradit</t>
  </si>
  <si>
    <t>Kamphaeng Phet</t>
  </si>
  <si>
    <t>Nakhon Sawan</t>
  </si>
  <si>
    <t>Phichit</t>
  </si>
  <si>
    <t>Uthai Thani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</si>
</sst>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22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4" fillId="0" borderId="0" xfId="0" applyFont="1"/>
    <xf numFmtId="177" fontId="4" fillId="0" borderId="0" xfId="0" applyNumberFormat="1" applyFont="1"/>
    <xf numFmtId="0" fontId="5" fillId="0" borderId="0" xfId="0" applyFont="1" applyAlignment="1">
      <alignment horizontal="center"/>
    </xf>
  </cellXfs>
  <cellStyles count="1">
    <cellStyle name="常规" xfId="0" builtinId="0"/>
  </cellStyles>
  <dxfs count="12">
    <dxf>
      <numFmt numFmtId="30" formatCode="@"/>
    </dxf>
    <dxf>
      <alignment horizontal="general" vertical="center" textRotation="0" wrapText="0" indent="0" justifyLastLine="0" shrinkToFit="0" readingOrder="0"/>
    </dxf>
    <dxf>
      <numFmt numFmtId="30" formatCode="@"/>
    </dxf>
    <dxf>
      <alignment horizontal="general" vertical="center" textRotation="0" wrapText="0" indent="0" justifyLastLine="0" shrinkToFit="0" readingOrder="0"/>
    </dxf>
    <dxf>
      <numFmt numFmtId="176" formatCode="0.00_);[Red]\(0.00\)"/>
    </dxf>
    <dxf>
      <numFmt numFmtId="30" formatCode="@"/>
    </dxf>
    <dxf>
      <alignment horizontal="general" vertical="center" textRotation="0" wrapText="0" indent="0" justifyLastLine="0" shrinkToFit="0" readingOrder="0"/>
    </dxf>
    <dxf>
      <font>
        <b/>
        <charset val="134"/>
      </font>
      <alignment horizontal="left" vertical="top" textRotation="0" indent="0" justifyLastLine="0" shrinkToFit="0" readingOrder="0"/>
    </dxf>
    <dxf>
      <font>
        <b/>
        <charset val="134"/>
      </font>
      <alignment horizontal="left" vertical="top" textRotation="0" indent="0" justifyLastLine="0" shrinkToFit="0" readingOrder="0"/>
    </dxf>
    <dxf>
      <font>
        <b/>
        <charset val="134"/>
      </font>
      <alignment horizontal="left" vertical="top" textRotation="0" indent="0" justifyLastLine="0" shrinkToFit="0" readingOrder="0"/>
    </dxf>
    <dxf>
      <font>
        <b/>
        <charset val="134"/>
      </font>
      <alignment horizontal="left" vertical="top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22"/>
        <color theme="1"/>
        <name val="等线"/>
        <charset val="13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442264-A09C-468A-844F-66F1D4245C28}" name="表2" displayName="表2" ref="A1:C3" totalsRowShown="0" headerRowDxfId="11" dataDxfId="10">
  <autoFilter ref="A1:C3" xr:uid="{3F442264-A09C-468A-844F-66F1D4245C28}"/>
  <tableColumns count="3">
    <tableColumn id="1" xr3:uid="{997E8495-D8F4-4A47-A899-A7A32E78A655}" name="Year" dataDxfId="9"/>
    <tableColumn id="2" xr3:uid="{84278821-E3B1-4B74-A14A-CB1846A0C4AC}" name="Age group" dataDxfId="8"/>
    <tableColumn id="3" xr3:uid="{F5485CC2-BEE3-4F3E-BF93-BB4197E8173A}" name="Province group" dataDxfId="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B2D1C8-EEB6-48E3-BBC5-03E05CCB82C5}" name="表3" displayName="表3" ref="A2:X7" totalsRowShown="0" headerRowDxfId="6">
  <autoFilter ref="A2:X7" xr:uid="{7AB2D1C8-EEB6-48E3-BBC5-03E05CCB82C5}"/>
  <tableColumns count="24">
    <tableColumn id="1" xr3:uid="{5F5FA6ED-F131-4ABB-8B98-F1DBBA099E33}" name="Year"/>
    <tableColumn id="2" xr3:uid="{BF85B206-A0D6-4122-B91B-A9531011EE9E}" name="0-4" dataDxfId="5"/>
    <tableColumn id="3" xr3:uid="{8FAE4D95-B414-4F48-88C3-46A79D55B1C0}" name="5-9"/>
    <tableColumn id="4" xr3:uid="{09B69DF3-D366-4DBC-A2FF-B5B7D435B84B}" name="10-14"/>
    <tableColumn id="5" xr3:uid="{4128ED10-5597-407E-AA32-9F0082215A9E}" name="15-19"/>
    <tableColumn id="6" xr3:uid="{4B998FBE-25AA-4C3E-A44F-C7468F06DEF1}" name="20-24"/>
    <tableColumn id="7" xr3:uid="{566C637B-C998-4F6A-A9AC-2ED4CABD0260}" name="25-29"/>
    <tableColumn id="8" xr3:uid="{C63AF39B-BFBF-431D-9FE6-37721613EBD4}" name="30-34"/>
    <tableColumn id="9" xr3:uid="{E106A3D7-DC57-4C03-BCA0-5DF53A53F08C}" name="35-39"/>
    <tableColumn id="10" xr3:uid="{F2392BA7-6410-4779-8EFD-B8AE0528C96D}" name="40-44"/>
    <tableColumn id="11" xr3:uid="{E8F26327-393D-4EB6-BB3D-AECDF409606B}" name="45-49"/>
    <tableColumn id="12" xr3:uid="{00CF7582-B6BF-4CA8-99C1-A8E6D4E772C7}" name="50-54"/>
    <tableColumn id="13" xr3:uid="{D443DF0E-35EA-4E04-BCF4-FDC7D1A3EAEB}" name="55-59"/>
    <tableColumn id="14" xr3:uid="{A4EED2F2-806B-4239-BD78-73A150F91E22}" name="60-64"/>
    <tableColumn id="15" xr3:uid="{83CDBD91-9764-4F60-A95B-B9141F52A6CC}" name="65+" dataDxfId="4">
      <calculatedColumnFormula>SUM(P3:W3)</calculatedColumnFormula>
    </tableColumn>
    <tableColumn id="16" xr3:uid="{9A996CEE-4530-465E-BFF0-7953D7C58B99}" name="65-69"/>
    <tableColumn id="17" xr3:uid="{33E8D108-BA33-44D7-A2AA-B71E04467FDE}" name="70-74"/>
    <tableColumn id="18" xr3:uid="{3081CFA7-56C8-4A77-8252-1B3F5962F07B}" name="75-79"/>
    <tableColumn id="19" xr3:uid="{351841CC-AB6A-48D7-B771-B1E84D4EB838}" name="80-84"/>
    <tableColumn id="20" xr3:uid="{593C26FE-0A71-4444-A756-2AC5FAE35D32}" name="85-89"/>
    <tableColumn id="21" xr3:uid="{F5396BB1-1BEC-4BA7-86F9-70ACFB7FD6C6}" name="90-94"/>
    <tableColumn id="22" xr3:uid="{D6DC8A77-4896-460B-AA32-7B702098CACB}" name="95-99"/>
    <tableColumn id="23" xr3:uid="{86DA1597-4D4C-45D4-BCBE-DB027EBBCAE1}" name="100+"/>
    <tableColumn id="24" xr3:uid="{C8993402-1ADB-49E6-B3AE-908126E74035}" name="total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25CAF8-A05B-493D-9576-D5B11152E32A}" name="表4" displayName="表4" ref="A9:X14" totalsRowShown="0" headerRowDxfId="3">
  <autoFilter ref="A9:X14" xr:uid="{E425CAF8-A05B-493D-9576-D5B11152E32A}"/>
  <tableColumns count="24">
    <tableColumn id="1" xr3:uid="{890E246C-5A6C-4CCA-89EC-A0A263B3B6CA}" name="Year"/>
    <tableColumn id="2" xr3:uid="{EA2AE1F2-BA16-421B-9FFB-5C853773616E}" name="0-4" dataDxfId="2"/>
    <tableColumn id="3" xr3:uid="{4EFB77E4-FC6D-4B19-B6C6-68C0E2082D42}" name="5-9"/>
    <tableColumn id="4" xr3:uid="{0B937AE8-5F3E-40C7-869E-605B0E34531B}" name="10-14"/>
    <tableColumn id="5" xr3:uid="{B3459115-64E4-49D3-931D-D557BE051E36}" name="15-19"/>
    <tableColumn id="6" xr3:uid="{6C00A662-8E29-4D18-876A-FDB134330FF9}" name="20-24"/>
    <tableColumn id="7" xr3:uid="{ABD17644-7D4C-469E-85B1-92E9E3E02D0C}" name="25-29"/>
    <tableColumn id="8" xr3:uid="{C77A3699-888B-4C9F-956C-73FCEE9655BD}" name="30-34"/>
    <tableColumn id="9" xr3:uid="{194DCA4C-283B-46FE-AF00-6CE94A7771D1}" name="35-39"/>
    <tableColumn id="10" xr3:uid="{3590F2CB-76D4-4A9A-9332-D464F7435A7E}" name="40-44"/>
    <tableColumn id="11" xr3:uid="{01F02F90-A613-4917-A301-5D87E6D3416D}" name="45-49"/>
    <tableColumn id="12" xr3:uid="{5CD55E00-5EC2-4B00-B78D-F765A3F4A60E}" name="50-54"/>
    <tableColumn id="13" xr3:uid="{548A8AC6-8612-4CAF-8374-F76018BE13F5}" name="55-59"/>
    <tableColumn id="14" xr3:uid="{E45AF44C-6493-4967-AA00-9674D957D531}" name="60-64"/>
    <tableColumn id="15" xr3:uid="{C4203D3C-9659-4568-90E8-726E3D365AB5}" name="65+"/>
    <tableColumn id="16" xr3:uid="{F81C6D81-C873-483A-9CD8-D0D85CC82742}" name="65-69"/>
    <tableColumn id="17" xr3:uid="{4ECBC746-8589-49B2-A8B5-1B5B15FD8A05}" name="70-74"/>
    <tableColumn id="18" xr3:uid="{08A5F50C-F597-44DF-858E-B2D857D019A8}" name="75-79"/>
    <tableColumn id="19" xr3:uid="{A30E77D3-43C7-40DB-ACC7-B964332E8071}" name="80-84"/>
    <tableColumn id="20" xr3:uid="{A0595E0C-E6E5-4640-A5DF-285879A373B2}" name="85-89"/>
    <tableColumn id="21" xr3:uid="{CD7F45BF-346B-4620-8AD1-FA1F74282794}" name="90-94"/>
    <tableColumn id="22" xr3:uid="{59FDE484-A67D-4A7F-BE48-8D3C7E0E5567}" name="95-99"/>
    <tableColumn id="23" xr3:uid="{01CD7520-7C3B-4714-9E4F-F28EF042FA28}" name="100+"/>
    <tableColumn id="24" xr3:uid="{C29E7286-0CB2-48EE-86ED-A23872C53497}" name="total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D06390-96E2-4752-AD39-2A22000D50E8}" name="表4_6" displayName="表4_6" ref="A16:O21" totalsRowShown="0" headerRowDxfId="1">
  <autoFilter ref="A16:O21" xr:uid="{B8D06390-96E2-4752-AD39-2A22000D50E8}"/>
  <tableColumns count="15">
    <tableColumn id="1" xr3:uid="{42580EA9-DB8F-4146-BE5E-2DCD1900C58F}" name="Year"/>
    <tableColumn id="2" xr3:uid="{4C3342B0-1C0A-4408-981F-D7E1B82083E8}" name="0-4" dataDxfId="0"/>
    <tableColumn id="3" xr3:uid="{6FC0A4C7-DBB4-47DB-B7FB-17052A94CDDE}" name="5-9"/>
    <tableColumn id="4" xr3:uid="{4F249022-FBD2-4F65-80CF-60DE53F3FC1D}" name="10-14"/>
    <tableColumn id="5" xr3:uid="{912066C7-F640-4EAF-A9C1-E1073B7A26F3}" name="15-19"/>
    <tableColumn id="6" xr3:uid="{7C083472-23DF-4070-B66C-A2431931AFFB}" name="20-24"/>
    <tableColumn id="7" xr3:uid="{3D1C003B-63F8-4A5E-9506-3112B2935783}" name="25-29"/>
    <tableColumn id="8" xr3:uid="{325CB5FB-F08F-42F2-B3E0-BC39111FDAF8}" name="30-34"/>
    <tableColumn id="9" xr3:uid="{16EB263D-8730-45AB-9242-134B344C69C0}" name="35-39"/>
    <tableColumn id="10" xr3:uid="{02E0E5FC-FF02-4141-B60C-755604BDAEA3}" name="40-44"/>
    <tableColumn id="11" xr3:uid="{3459195B-AAB7-421B-8FA1-974A28758163}" name="45-49"/>
    <tableColumn id="12" xr3:uid="{D5EDD774-8565-49E1-B3EF-BBA02F56DEF9}" name="50-54"/>
    <tableColumn id="13" xr3:uid="{8937A66E-132B-483B-8F7E-2510F34DF07E}" name="55-59"/>
    <tableColumn id="14" xr3:uid="{537A5CC9-0D88-4D1B-9820-0980CB93FD94}" name="60-64"/>
    <tableColumn id="15" xr3:uid="{92C8087F-18C9-44B0-BAE0-E04233590E98}" name="65+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8012-AA46-4279-8E56-003C061CE7F3}">
  <dimension ref="A1:C3"/>
  <sheetViews>
    <sheetView tabSelected="1" workbookViewId="0">
      <selection activeCell="B2" sqref="B2"/>
    </sheetView>
  </sheetViews>
  <sheetFormatPr defaultRowHeight="13.8" x14ac:dyDescent="0.25"/>
  <cols>
    <col min="1" max="1" width="15" customWidth="1"/>
    <col min="2" max="2" width="56.88671875" customWidth="1"/>
    <col min="3" max="3" width="57" customWidth="1"/>
  </cols>
  <sheetData>
    <row r="1" spans="1:3" ht="30" customHeight="1" x14ac:dyDescent="0.5">
      <c r="A1" s="5" t="s">
        <v>18</v>
      </c>
      <c r="B1" s="5" t="s">
        <v>16</v>
      </c>
      <c r="C1" s="5" t="s">
        <v>17</v>
      </c>
    </row>
    <row r="2" spans="1:3" ht="46.2" customHeight="1" x14ac:dyDescent="0.25">
      <c r="A2" s="4" t="s">
        <v>19</v>
      </c>
      <c r="B2" s="4" t="s">
        <v>20</v>
      </c>
      <c r="C2" s="4" t="s">
        <v>21</v>
      </c>
    </row>
    <row r="3" spans="1:3" ht="45" customHeight="1" x14ac:dyDescent="0.25">
      <c r="A3" s="6">
        <v>2023</v>
      </c>
      <c r="B3" s="4" t="s">
        <v>36</v>
      </c>
      <c r="C3" s="4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opLeftCell="K4" workbookViewId="0">
      <selection activeCell="R15" sqref="R15"/>
    </sheetView>
  </sheetViews>
  <sheetFormatPr defaultRowHeight="13.8" x14ac:dyDescent="0.25"/>
  <cols>
    <col min="2" max="15" width="11.44140625" bestFit="1" customWidth="1"/>
    <col min="16" max="16" width="11.33203125" customWidth="1"/>
  </cols>
  <sheetData>
    <row r="1" spans="1:16" x14ac:dyDescent="0.25">
      <c r="A1" t="s">
        <v>0</v>
      </c>
      <c r="B1" t="s">
        <v>1</v>
      </c>
      <c r="C1" s="1" t="s">
        <v>14</v>
      </c>
      <c r="D1" s="1" t="s">
        <v>15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>
        <v>1992</v>
      </c>
      <c r="B2" s="3">
        <v>5761371</v>
      </c>
      <c r="C2" s="3">
        <v>6004443</v>
      </c>
      <c r="D2" s="3">
        <v>6174285</v>
      </c>
      <c r="E2" s="3">
        <v>6179660</v>
      </c>
      <c r="F2" s="3">
        <v>6049206</v>
      </c>
      <c r="G2" s="3">
        <v>5549487</v>
      </c>
      <c r="H2" s="3">
        <v>4680049</v>
      </c>
      <c r="I2" s="3">
        <v>3945302</v>
      </c>
      <c r="J2" s="3">
        <v>3092066</v>
      </c>
      <c r="K2" s="3">
        <v>2389535</v>
      </c>
      <c r="L2" s="3">
        <v>2048435</v>
      </c>
      <c r="M2" s="3">
        <v>1778910</v>
      </c>
      <c r="N2" s="3">
        <v>1383277</v>
      </c>
      <c r="O2" s="3">
        <v>2338972</v>
      </c>
      <c r="P2" s="3">
        <v>57374998</v>
      </c>
    </row>
    <row r="3" spans="1:16" x14ac:dyDescent="0.25">
      <c r="A3">
        <v>1993</v>
      </c>
      <c r="B3" s="3">
        <v>5696364</v>
      </c>
      <c r="C3" s="3">
        <v>5934090</v>
      </c>
      <c r="D3" s="3">
        <v>6132579</v>
      </c>
      <c r="E3" s="3">
        <v>6174550</v>
      </c>
      <c r="F3" s="3">
        <v>6057717</v>
      </c>
      <c r="G3" s="3">
        <v>5702816</v>
      </c>
      <c r="H3" s="3">
        <v>4801743</v>
      </c>
      <c r="I3" s="3">
        <v>4078363</v>
      </c>
      <c r="J3" s="3">
        <v>3248116</v>
      </c>
      <c r="K3" s="3">
        <v>2479436</v>
      </c>
      <c r="L3" s="3">
        <v>2068709</v>
      </c>
      <c r="M3" s="3">
        <v>1833297</v>
      </c>
      <c r="N3" s="3">
        <v>1428468</v>
      </c>
      <c r="O3" s="3">
        <v>2426275</v>
      </c>
      <c r="P3" s="3">
        <v>58062523</v>
      </c>
    </row>
    <row r="4" spans="1:16" x14ac:dyDescent="0.25">
      <c r="A4">
        <v>1994</v>
      </c>
      <c r="B4" s="3">
        <v>5447707</v>
      </c>
      <c r="C4" s="3">
        <v>5525172</v>
      </c>
      <c r="D4" s="3">
        <v>5759705</v>
      </c>
      <c r="E4" s="3">
        <v>5832960</v>
      </c>
      <c r="F4" s="3">
        <v>5667820</v>
      </c>
      <c r="G4" s="3">
        <v>5340440</v>
      </c>
      <c r="H4" s="3">
        <v>4910093</v>
      </c>
      <c r="I4" s="3">
        <v>4405443</v>
      </c>
      <c r="J4" s="3">
        <v>3693813</v>
      </c>
      <c r="K4" s="3">
        <v>2861787</v>
      </c>
      <c r="L4" s="3">
        <v>2454140</v>
      </c>
      <c r="M4" s="3">
        <v>2184515</v>
      </c>
      <c r="N4" s="3">
        <v>1725535</v>
      </c>
      <c r="O4" s="3">
        <v>2906616</v>
      </c>
      <c r="P4" s="3">
        <v>58715746</v>
      </c>
    </row>
    <row r="5" spans="1:16" x14ac:dyDescent="0.25">
      <c r="A5">
        <v>1995</v>
      </c>
      <c r="B5" s="3">
        <v>5412865</v>
      </c>
      <c r="C5" s="3">
        <v>5468934</v>
      </c>
      <c r="D5" s="3">
        <v>5706805</v>
      </c>
      <c r="E5" s="3">
        <v>5818991</v>
      </c>
      <c r="F5" s="3">
        <v>5688963</v>
      </c>
      <c r="G5" s="3">
        <v>5380634</v>
      </c>
      <c r="H5" s="3">
        <v>4967019</v>
      </c>
      <c r="I5" s="3">
        <v>4492002</v>
      </c>
      <c r="J5" s="3">
        <v>3844374</v>
      </c>
      <c r="K5" s="3">
        <v>2969542</v>
      </c>
      <c r="L5" s="3">
        <v>2490479</v>
      </c>
      <c r="M5" s="3">
        <v>2218521</v>
      </c>
      <c r="N5" s="3">
        <v>1794422</v>
      </c>
      <c r="O5" s="3">
        <v>3024349</v>
      </c>
      <c r="P5" s="3">
        <v>59277900</v>
      </c>
    </row>
    <row r="6" spans="1:16" x14ac:dyDescent="0.25">
      <c r="A6">
        <v>1996</v>
      </c>
      <c r="B6" s="3">
        <v>5400339</v>
      </c>
      <c r="C6" s="3">
        <v>5427973</v>
      </c>
      <c r="D6" s="3">
        <v>5656024</v>
      </c>
      <c r="E6" s="3">
        <v>5795162</v>
      </c>
      <c r="F6" s="3">
        <v>5706832</v>
      </c>
      <c r="G6" s="3">
        <v>5418690</v>
      </c>
      <c r="H6" s="3">
        <v>5014368</v>
      </c>
      <c r="I6" s="3">
        <v>4569228</v>
      </c>
      <c r="J6" s="3">
        <v>3971931</v>
      </c>
      <c r="K6" s="3">
        <v>3103409</v>
      </c>
      <c r="L6" s="3">
        <v>2539035</v>
      </c>
      <c r="M6" s="3">
        <v>2251307</v>
      </c>
      <c r="N6" s="3">
        <v>1829939</v>
      </c>
      <c r="O6" s="3">
        <v>3104047</v>
      </c>
      <c r="P6" s="3">
        <v>59788284</v>
      </c>
    </row>
    <row r="7" spans="1:16" x14ac:dyDescent="0.25">
      <c r="A7">
        <v>1997</v>
      </c>
      <c r="B7" s="3">
        <v>5375280</v>
      </c>
      <c r="C7" s="3">
        <v>5416864</v>
      </c>
      <c r="D7" s="3">
        <v>5606411</v>
      </c>
      <c r="E7" s="3">
        <v>5787679</v>
      </c>
      <c r="F7" s="3">
        <v>5743686</v>
      </c>
      <c r="G7" s="3">
        <v>5468525</v>
      </c>
      <c r="H7" s="3">
        <v>5078016</v>
      </c>
      <c r="I7" s="3">
        <v>4648559</v>
      </c>
      <c r="J7" s="3">
        <v>4097324</v>
      </c>
      <c r="K7" s="3">
        <v>3261136</v>
      </c>
      <c r="L7" s="3">
        <v>2603398</v>
      </c>
      <c r="M7" s="3">
        <v>2282311</v>
      </c>
      <c r="N7" s="3">
        <v>1885751</v>
      </c>
      <c r="O7" s="3">
        <v>3211303</v>
      </c>
      <c r="P7" s="3">
        <v>60466243</v>
      </c>
    </row>
    <row r="8" spans="1:16" x14ac:dyDescent="0.25">
      <c r="A8">
        <v>1998</v>
      </c>
      <c r="B8" s="3">
        <v>5341663</v>
      </c>
      <c r="C8" s="3">
        <v>5411388</v>
      </c>
      <c r="D8" s="3">
        <v>5551666</v>
      </c>
      <c r="E8" s="3">
        <v>5763144</v>
      </c>
      <c r="F8" s="3">
        <v>5751604</v>
      </c>
      <c r="G8" s="3">
        <v>5529902</v>
      </c>
      <c r="H8" s="3">
        <v>5142509</v>
      </c>
      <c r="I8" s="3">
        <v>4720851</v>
      </c>
      <c r="J8" s="3">
        <v>4212794</v>
      </c>
      <c r="K8" s="3">
        <v>3437335</v>
      </c>
      <c r="L8" s="3">
        <v>2676546</v>
      </c>
      <c r="M8" s="3">
        <v>2312231</v>
      </c>
      <c r="N8" s="3">
        <v>1957451</v>
      </c>
      <c r="O8" s="3">
        <v>3346804</v>
      </c>
      <c r="P8" s="3">
        <v>61155888</v>
      </c>
    </row>
    <row r="9" spans="1:16" x14ac:dyDescent="0.25">
      <c r="A9">
        <v>1999</v>
      </c>
      <c r="B9" s="3">
        <v>5262552</v>
      </c>
      <c r="C9" s="3">
        <v>5395848</v>
      </c>
      <c r="D9" s="3">
        <v>5490548</v>
      </c>
      <c r="E9" s="3">
        <v>5709320</v>
      </c>
      <c r="F9" s="3">
        <v>5751375</v>
      </c>
      <c r="G9" s="3">
        <v>5549781</v>
      </c>
      <c r="H9" s="3">
        <v>5184161</v>
      </c>
      <c r="I9" s="3">
        <v>4759366</v>
      </c>
      <c r="J9" s="3">
        <v>4290178</v>
      </c>
      <c r="K9" s="3">
        <v>3588610</v>
      </c>
      <c r="L9" s="3">
        <v>2755976</v>
      </c>
      <c r="M9" s="3">
        <v>2332636</v>
      </c>
      <c r="N9" s="3">
        <v>2007020</v>
      </c>
      <c r="O9" s="3">
        <v>3486609</v>
      </c>
      <c r="P9" s="3">
        <v>61563980</v>
      </c>
    </row>
    <row r="10" spans="1:16" x14ac:dyDescent="0.25">
      <c r="A10">
        <v>2000</v>
      </c>
      <c r="B10" s="3">
        <v>5173354</v>
      </c>
      <c r="C10" s="3">
        <v>5340120</v>
      </c>
      <c r="D10" s="3">
        <v>5411127</v>
      </c>
      <c r="E10" s="3">
        <v>5630730</v>
      </c>
      <c r="F10" s="3">
        <v>5709426</v>
      </c>
      <c r="G10" s="3">
        <v>5545337</v>
      </c>
      <c r="H10" s="3">
        <v>5200709</v>
      </c>
      <c r="I10" s="3">
        <v>4791213</v>
      </c>
      <c r="J10" s="3">
        <v>4349856</v>
      </c>
      <c r="K10" s="3">
        <v>3715860</v>
      </c>
      <c r="L10" s="3">
        <v>2846502</v>
      </c>
      <c r="M10" s="3">
        <v>2352872</v>
      </c>
      <c r="N10" s="3">
        <v>2044761</v>
      </c>
      <c r="O10" s="3">
        <v>3658392</v>
      </c>
      <c r="P10" s="3">
        <v>61770259</v>
      </c>
    </row>
    <row r="11" spans="1:16" x14ac:dyDescent="0.25">
      <c r="A11">
        <v>2001</v>
      </c>
      <c r="B11" s="3">
        <v>5125593</v>
      </c>
      <c r="C11" s="3">
        <v>5293426</v>
      </c>
      <c r="D11" s="3">
        <v>5371420</v>
      </c>
      <c r="E11" s="3">
        <v>5560104</v>
      </c>
      <c r="F11" s="3">
        <v>5687409</v>
      </c>
      <c r="G11" s="3">
        <v>5567285</v>
      </c>
      <c r="H11" s="3">
        <v>5242837</v>
      </c>
      <c r="I11" s="3">
        <v>4834691</v>
      </c>
      <c r="J11" s="3">
        <v>4417183</v>
      </c>
      <c r="K11" s="3">
        <v>3833310</v>
      </c>
      <c r="L11" s="3">
        <v>2973494</v>
      </c>
      <c r="M11" s="3">
        <v>2397972</v>
      </c>
      <c r="N11" s="3">
        <v>2031563</v>
      </c>
      <c r="O11" s="3">
        <v>3757568</v>
      </c>
      <c r="P11" s="3">
        <v>62093855</v>
      </c>
    </row>
    <row r="12" spans="1:16" x14ac:dyDescent="0.25">
      <c r="A12">
        <v>2002</v>
      </c>
      <c r="B12" s="3">
        <v>4290990</v>
      </c>
      <c r="C12" s="3">
        <v>5012942</v>
      </c>
      <c r="D12" s="3">
        <v>4846635</v>
      </c>
      <c r="E12" s="3">
        <v>5051296</v>
      </c>
      <c r="F12" s="3">
        <v>5527282</v>
      </c>
      <c r="G12" s="3">
        <v>5716876</v>
      </c>
      <c r="H12" s="3">
        <v>5887082</v>
      </c>
      <c r="I12" s="3">
        <v>5600107</v>
      </c>
      <c r="J12" s="3">
        <v>4862503</v>
      </c>
      <c r="K12" s="3">
        <v>4019771</v>
      </c>
      <c r="L12" s="3">
        <v>3080166</v>
      </c>
      <c r="M12" s="3">
        <v>2203038</v>
      </c>
      <c r="N12" s="3">
        <v>2075930</v>
      </c>
      <c r="O12" s="3">
        <v>4379795</v>
      </c>
      <c r="P12" s="3">
        <v>62554413</v>
      </c>
    </row>
    <row r="13" spans="1:16" x14ac:dyDescent="0.25">
      <c r="A13">
        <v>2003</v>
      </c>
      <c r="B13" s="3">
        <v>4133411</v>
      </c>
      <c r="C13" s="3">
        <v>4982438</v>
      </c>
      <c r="D13" s="3">
        <v>4922276</v>
      </c>
      <c r="E13" s="3">
        <v>4912698</v>
      </c>
      <c r="F13" s="3">
        <v>5458985</v>
      </c>
      <c r="G13" s="3">
        <v>5662229</v>
      </c>
      <c r="H13" s="3">
        <v>5839313</v>
      </c>
      <c r="I13" s="3">
        <v>5683716</v>
      </c>
      <c r="J13" s="3">
        <v>5016803</v>
      </c>
      <c r="K13" s="3">
        <v>4164249</v>
      </c>
      <c r="L13" s="3">
        <v>3251031</v>
      </c>
      <c r="M13" s="3">
        <v>2307502</v>
      </c>
      <c r="N13" s="3">
        <v>2076817</v>
      </c>
      <c r="O13" s="3">
        <v>4528351</v>
      </c>
      <c r="P13" s="3">
        <v>62939819</v>
      </c>
    </row>
    <row r="14" spans="1:16" x14ac:dyDescent="0.25">
      <c r="A14">
        <v>2004</v>
      </c>
      <c r="B14" s="3">
        <v>4033330</v>
      </c>
      <c r="C14" s="3">
        <v>4832404</v>
      </c>
      <c r="D14" s="3">
        <v>4904407</v>
      </c>
      <c r="E14" s="3">
        <v>4775954</v>
      </c>
      <c r="F14" s="3">
        <v>5316610</v>
      </c>
      <c r="G14" s="3">
        <v>5543157</v>
      </c>
      <c r="H14" s="3">
        <v>5705599</v>
      </c>
      <c r="I14" s="3">
        <v>5656047</v>
      </c>
      <c r="J14" s="3">
        <v>5104745</v>
      </c>
      <c r="K14" s="3">
        <v>4279690</v>
      </c>
      <c r="L14" s="3">
        <v>3359360</v>
      </c>
      <c r="M14" s="3">
        <v>2419650</v>
      </c>
      <c r="N14" s="3">
        <v>2023634</v>
      </c>
      <c r="O14" s="3">
        <v>4572123</v>
      </c>
      <c r="P14" s="3">
        <v>62526710</v>
      </c>
    </row>
    <row r="15" spans="1:16" x14ac:dyDescent="0.25">
      <c r="A15">
        <v>2005</v>
      </c>
      <c r="B15" s="3">
        <v>3991348</v>
      </c>
      <c r="C15" s="3">
        <v>4649266</v>
      </c>
      <c r="D15" s="3">
        <v>4871031</v>
      </c>
      <c r="E15" s="3">
        <v>4697311</v>
      </c>
      <c r="F15" s="3">
        <v>5158682</v>
      </c>
      <c r="G15" s="3">
        <v>5455330</v>
      </c>
      <c r="H15" s="3">
        <v>5596080</v>
      </c>
      <c r="I15" s="3">
        <v>5585061</v>
      </c>
      <c r="J15" s="3">
        <v>5168057</v>
      </c>
      <c r="K15" s="3">
        <v>4393936</v>
      </c>
      <c r="L15" s="3">
        <v>3467713</v>
      </c>
      <c r="M15" s="3">
        <v>2559543</v>
      </c>
      <c r="N15" s="3">
        <v>1993668</v>
      </c>
      <c r="O15" s="3">
        <v>4608852</v>
      </c>
      <c r="P15" s="3">
        <v>62195878</v>
      </c>
    </row>
    <row r="16" spans="1:16" x14ac:dyDescent="0.25">
      <c r="A16">
        <v>2006</v>
      </c>
      <c r="B16" s="3">
        <v>3982418</v>
      </c>
      <c r="C16" s="3">
        <v>4485076</v>
      </c>
      <c r="D16" s="3">
        <v>4902464</v>
      </c>
      <c r="E16" s="3">
        <v>4716369</v>
      </c>
      <c r="F16" s="3">
        <v>5048316</v>
      </c>
      <c r="G16" s="3">
        <v>5424169</v>
      </c>
      <c r="H16" s="3">
        <v>5538260</v>
      </c>
      <c r="I16" s="3">
        <v>5610775</v>
      </c>
      <c r="J16" s="3">
        <v>5267507</v>
      </c>
      <c r="K16" s="3">
        <v>4505673</v>
      </c>
      <c r="L16" s="3">
        <v>3649179</v>
      </c>
      <c r="M16" s="3">
        <v>2735513</v>
      </c>
      <c r="N16" s="3">
        <v>2019967</v>
      </c>
      <c r="O16" s="3">
        <v>4737730</v>
      </c>
      <c r="P16" s="3">
        <v>62623416</v>
      </c>
    </row>
    <row r="17" spans="1:16" x14ac:dyDescent="0.25">
      <c r="A17">
        <v>2007</v>
      </c>
      <c r="B17" s="3">
        <v>3991894</v>
      </c>
      <c r="C17" s="3">
        <v>4309597</v>
      </c>
      <c r="D17" s="3">
        <v>4928686</v>
      </c>
      <c r="E17" s="3">
        <v>4788792</v>
      </c>
      <c r="F17" s="3">
        <v>4922676</v>
      </c>
      <c r="G17" s="3">
        <v>5369657</v>
      </c>
      <c r="H17" s="3">
        <v>5494879</v>
      </c>
      <c r="I17" s="3">
        <v>5633180</v>
      </c>
      <c r="J17" s="3">
        <v>5343331</v>
      </c>
      <c r="K17" s="3">
        <v>4619394</v>
      </c>
      <c r="L17" s="3">
        <v>3808380</v>
      </c>
      <c r="M17" s="3">
        <v>2886249</v>
      </c>
      <c r="N17" s="3">
        <v>2036931</v>
      </c>
      <c r="O17" s="3">
        <v>4799869</v>
      </c>
      <c r="P17" s="3">
        <v>62933515</v>
      </c>
    </row>
    <row r="18" spans="1:16" x14ac:dyDescent="0.25">
      <c r="A18">
        <v>2008</v>
      </c>
      <c r="B18" s="3">
        <v>3997249</v>
      </c>
      <c r="C18" s="3">
        <v>4176511</v>
      </c>
      <c r="D18" s="3">
        <v>4909870</v>
      </c>
      <c r="E18" s="3">
        <v>4870916</v>
      </c>
      <c r="F18" s="3">
        <v>4805912</v>
      </c>
      <c r="G18" s="3">
        <v>5322626</v>
      </c>
      <c r="H18" s="3">
        <v>5462704</v>
      </c>
      <c r="I18" s="3">
        <v>5593088</v>
      </c>
      <c r="J18" s="3">
        <v>5418888</v>
      </c>
      <c r="K18" s="3">
        <v>4757232</v>
      </c>
      <c r="L18" s="3">
        <v>3925831</v>
      </c>
      <c r="M18" s="3">
        <v>3036053</v>
      </c>
      <c r="N18" s="3">
        <v>2091011</v>
      </c>
      <c r="O18" s="3">
        <v>4846131</v>
      </c>
      <c r="P18" s="3">
        <v>63214022</v>
      </c>
    </row>
    <row r="19" spans="1:16" x14ac:dyDescent="0.25">
      <c r="A19">
        <v>2009</v>
      </c>
      <c r="B19" s="3">
        <v>3973721</v>
      </c>
      <c r="C19" s="3">
        <v>4102585</v>
      </c>
      <c r="D19" s="3">
        <v>4815439</v>
      </c>
      <c r="E19" s="3">
        <v>4910411</v>
      </c>
      <c r="F19" s="3">
        <v>4721027</v>
      </c>
      <c r="G19" s="3">
        <v>5244631</v>
      </c>
      <c r="H19" s="3">
        <v>5422374</v>
      </c>
      <c r="I19" s="3">
        <v>5535275</v>
      </c>
      <c r="J19" s="3">
        <v>5452439</v>
      </c>
      <c r="K19" s="3">
        <v>4889621</v>
      </c>
      <c r="L19" s="3">
        <v>4065202</v>
      </c>
      <c r="M19" s="3">
        <v>3158084</v>
      </c>
      <c r="N19" s="3">
        <v>2212629</v>
      </c>
      <c r="O19" s="3">
        <v>4954001</v>
      </c>
      <c r="P19" s="3">
        <v>63457439</v>
      </c>
    </row>
    <row r="20" spans="1:16" x14ac:dyDescent="0.25">
      <c r="A20">
        <v>2010</v>
      </c>
      <c r="B20" s="3">
        <v>3932426</v>
      </c>
      <c r="C20" s="3">
        <v>4063701</v>
      </c>
      <c r="D20" s="3">
        <v>4678117</v>
      </c>
      <c r="E20" s="3">
        <v>4928538</v>
      </c>
      <c r="F20" s="3">
        <v>4679005</v>
      </c>
      <c r="G20" s="3">
        <v>5133665</v>
      </c>
      <c r="H20" s="3">
        <v>5396614</v>
      </c>
      <c r="I20" s="3">
        <v>5493790</v>
      </c>
      <c r="J20" s="3">
        <v>5443822</v>
      </c>
      <c r="K20" s="3">
        <v>5003097</v>
      </c>
      <c r="L20" s="3">
        <v>4213695</v>
      </c>
      <c r="M20" s="3">
        <v>3283437</v>
      </c>
      <c r="N20" s="3">
        <v>2368252</v>
      </c>
      <c r="O20" s="3">
        <v>5083545</v>
      </c>
      <c r="P20" s="3">
        <v>63701703</v>
      </c>
    </row>
    <row r="21" spans="1:16" x14ac:dyDescent="0.25">
      <c r="A21">
        <v>2011</v>
      </c>
      <c r="B21" s="3">
        <v>3919169</v>
      </c>
      <c r="C21" s="3">
        <v>4056491</v>
      </c>
      <c r="D21" s="3">
        <v>4521279</v>
      </c>
      <c r="E21" s="3">
        <v>4957254</v>
      </c>
      <c r="F21" s="3">
        <v>4695744</v>
      </c>
      <c r="G21" s="3">
        <v>5032224</v>
      </c>
      <c r="H21" s="3">
        <v>5378169</v>
      </c>
      <c r="I21" s="3">
        <v>5453040</v>
      </c>
      <c r="J21" s="3">
        <v>5482091</v>
      </c>
      <c r="K21" s="3">
        <v>5108572</v>
      </c>
      <c r="L21" s="3">
        <v>4328671</v>
      </c>
      <c r="M21" s="3">
        <v>3456851</v>
      </c>
      <c r="N21" s="3">
        <v>2540952</v>
      </c>
      <c r="O21" s="3">
        <v>5250494</v>
      </c>
      <c r="P21" s="3">
        <v>64181001</v>
      </c>
    </row>
    <row r="22" spans="1:16" x14ac:dyDescent="0.25">
      <c r="A22">
        <v>2012</v>
      </c>
      <c r="B22" s="3">
        <v>3905648</v>
      </c>
      <c r="C22" s="3">
        <v>4060683</v>
      </c>
      <c r="D22" s="3">
        <v>4329793</v>
      </c>
      <c r="E22" s="3">
        <v>4928714</v>
      </c>
      <c r="F22" s="3">
        <v>4717793</v>
      </c>
      <c r="G22" s="3">
        <v>4867386</v>
      </c>
      <c r="H22" s="3">
        <v>5277114</v>
      </c>
      <c r="I22" s="3">
        <v>5369577</v>
      </c>
      <c r="J22" s="3">
        <v>5467624</v>
      </c>
      <c r="K22" s="3">
        <v>5153116</v>
      </c>
      <c r="L22" s="3">
        <v>4425184</v>
      </c>
      <c r="M22" s="3">
        <v>3612265</v>
      </c>
      <c r="N22" s="3">
        <v>2721516</v>
      </c>
      <c r="O22" s="3">
        <v>5429991</v>
      </c>
      <c r="P22" s="3">
        <v>64266404</v>
      </c>
    </row>
    <row r="23" spans="1:16" x14ac:dyDescent="0.25">
      <c r="A23">
        <v>2013</v>
      </c>
      <c r="B23" s="3">
        <v>3907728</v>
      </c>
      <c r="C23" s="3">
        <v>4063959</v>
      </c>
      <c r="D23" s="3">
        <v>4187728</v>
      </c>
      <c r="E23" s="3">
        <v>4897301</v>
      </c>
      <c r="F23" s="3">
        <v>4796348</v>
      </c>
      <c r="G23" s="3">
        <v>4759146</v>
      </c>
      <c r="H23" s="3">
        <v>5242744</v>
      </c>
      <c r="I23" s="3">
        <v>5358931</v>
      </c>
      <c r="J23" s="3">
        <v>5461332</v>
      </c>
      <c r="K23" s="3">
        <v>5043921</v>
      </c>
      <c r="L23" s="3">
        <v>4593172</v>
      </c>
      <c r="M23" s="3">
        <v>3690658</v>
      </c>
      <c r="N23" s="3">
        <v>2795632</v>
      </c>
      <c r="O23" s="3">
        <v>5822702</v>
      </c>
      <c r="P23" s="3">
        <v>64621302</v>
      </c>
    </row>
    <row r="24" spans="1:16" x14ac:dyDescent="0.25">
      <c r="A24">
        <v>2014</v>
      </c>
      <c r="B24" s="3">
        <v>3839371</v>
      </c>
      <c r="C24" s="3">
        <v>4039947</v>
      </c>
      <c r="D24" s="3">
        <v>4119570</v>
      </c>
      <c r="E24" s="3">
        <v>4808413</v>
      </c>
      <c r="F24" s="3">
        <v>4825085</v>
      </c>
      <c r="G24" s="3">
        <v>4669156</v>
      </c>
      <c r="H24" s="3">
        <v>5161330</v>
      </c>
      <c r="I24" s="3">
        <v>5313532</v>
      </c>
      <c r="J24" s="3">
        <v>5389484</v>
      </c>
      <c r="K24" s="3">
        <v>5279979</v>
      </c>
      <c r="L24" s="3">
        <v>4697357</v>
      </c>
      <c r="M24" s="3">
        <v>3724642</v>
      </c>
      <c r="N24" s="3">
        <v>3018295</v>
      </c>
      <c r="O24" s="3">
        <v>6069152</v>
      </c>
      <c r="P24" s="3">
        <v>64955313</v>
      </c>
    </row>
    <row r="25" spans="1:16" x14ac:dyDescent="0.25">
      <c r="A25">
        <v>2015</v>
      </c>
      <c r="B25" s="3">
        <v>3802074</v>
      </c>
      <c r="C25" s="3">
        <v>4012631</v>
      </c>
      <c r="D25" s="3">
        <v>4100682</v>
      </c>
      <c r="E25" s="3">
        <v>4694164</v>
      </c>
      <c r="F25" s="3">
        <v>4865381</v>
      </c>
      <c r="G25" s="3">
        <v>4649399</v>
      </c>
      <c r="H25" s="3">
        <v>5078819</v>
      </c>
      <c r="I25" s="3">
        <v>5314430</v>
      </c>
      <c r="J25" s="3">
        <v>5377292</v>
      </c>
      <c r="K25" s="3">
        <v>5300951</v>
      </c>
      <c r="L25" s="3">
        <v>4835037</v>
      </c>
      <c r="M25" s="3">
        <v>3920999</v>
      </c>
      <c r="N25" s="3">
        <v>3117901</v>
      </c>
      <c r="O25" s="3">
        <v>6357146</v>
      </c>
      <c r="P25" s="3">
        <v>65426907</v>
      </c>
    </row>
    <row r="26" spans="1:16" x14ac:dyDescent="0.25">
      <c r="A26">
        <v>2016</v>
      </c>
      <c r="B26" s="3">
        <v>3721783</v>
      </c>
      <c r="C26" s="3">
        <v>3990344</v>
      </c>
      <c r="D26" s="3">
        <v>4085628</v>
      </c>
      <c r="E26" s="3">
        <v>4530724</v>
      </c>
      <c r="F26" s="3">
        <v>4895898</v>
      </c>
      <c r="G26" s="3">
        <v>4668024</v>
      </c>
      <c r="H26" s="3">
        <v>4980957</v>
      </c>
      <c r="I26" s="3">
        <v>5295504</v>
      </c>
      <c r="J26" s="3">
        <v>5338404</v>
      </c>
      <c r="K26" s="3">
        <v>5337913</v>
      </c>
      <c r="L26" s="3">
        <v>4940503</v>
      </c>
      <c r="M26" s="3">
        <v>4113319</v>
      </c>
      <c r="N26" s="3">
        <v>3201959</v>
      </c>
      <c r="O26" s="3">
        <v>6729364</v>
      </c>
      <c r="P26" s="3">
        <v>65830324</v>
      </c>
    </row>
    <row r="27" spans="1:16" x14ac:dyDescent="0.25">
      <c r="A27">
        <v>2017</v>
      </c>
      <c r="B27" s="3">
        <v>3598812</v>
      </c>
      <c r="C27" s="3">
        <v>3987938</v>
      </c>
      <c r="D27" s="3">
        <v>4089917</v>
      </c>
      <c r="E27" s="3">
        <v>4346527</v>
      </c>
      <c r="F27" s="3">
        <v>4908758</v>
      </c>
      <c r="G27" s="3">
        <v>4725022</v>
      </c>
      <c r="H27" s="3">
        <v>4858907</v>
      </c>
      <c r="I27" s="3">
        <v>5247373</v>
      </c>
      <c r="J27" s="3">
        <v>5309324</v>
      </c>
      <c r="K27" s="3">
        <v>5370776</v>
      </c>
      <c r="L27" s="3">
        <v>5026126</v>
      </c>
      <c r="M27" s="3">
        <v>4269338</v>
      </c>
      <c r="N27" s="3">
        <v>3304958</v>
      </c>
      <c r="O27" s="3">
        <v>7016251</v>
      </c>
      <c r="P27" s="3">
        <v>66060027</v>
      </c>
    </row>
    <row r="28" spans="1:16" x14ac:dyDescent="0.25">
      <c r="A28">
        <v>2018</v>
      </c>
      <c r="B28" s="3">
        <v>3371021</v>
      </c>
      <c r="C28" s="3">
        <v>3869298</v>
      </c>
      <c r="D28" s="3">
        <v>3989396</v>
      </c>
      <c r="E28" s="3">
        <v>4103152</v>
      </c>
      <c r="F28" s="3">
        <v>4776263</v>
      </c>
      <c r="G28" s="3">
        <v>4687596</v>
      </c>
      <c r="H28" s="3">
        <v>4638055</v>
      </c>
      <c r="I28" s="3">
        <v>5098360</v>
      </c>
      <c r="J28" s="3">
        <v>5182721</v>
      </c>
      <c r="K28" s="3">
        <v>5241499</v>
      </c>
      <c r="L28" s="3">
        <v>5010724</v>
      </c>
      <c r="M28" s="3">
        <v>4310335</v>
      </c>
      <c r="N28" s="3">
        <v>3325077</v>
      </c>
      <c r="O28" s="3">
        <v>7122588</v>
      </c>
      <c r="P28" s="3">
        <v>64726085</v>
      </c>
    </row>
    <row r="29" spans="1:16" x14ac:dyDescent="0.25">
      <c r="A29">
        <v>2019</v>
      </c>
      <c r="B29" s="3">
        <v>3249920</v>
      </c>
      <c r="C29" s="3">
        <v>3830186</v>
      </c>
      <c r="D29" s="3">
        <v>3970184</v>
      </c>
      <c r="E29" s="3">
        <v>4037786</v>
      </c>
      <c r="F29" s="3">
        <v>4692493</v>
      </c>
      <c r="G29" s="3">
        <v>4731204</v>
      </c>
      <c r="H29" s="3">
        <v>4560388</v>
      </c>
      <c r="I29" s="3">
        <v>5031990</v>
      </c>
      <c r="J29" s="3">
        <v>5155507</v>
      </c>
      <c r="K29" s="3">
        <v>5202948</v>
      </c>
      <c r="L29" s="3">
        <v>5060326</v>
      </c>
      <c r="M29" s="3">
        <v>4448634</v>
      </c>
      <c r="N29" s="3">
        <v>3464158</v>
      </c>
      <c r="O29" s="3">
        <v>7437275</v>
      </c>
      <c r="P29" s="3">
        <v>64872999</v>
      </c>
    </row>
    <row r="30" spans="1:16" x14ac:dyDescent="0.25">
      <c r="A30">
        <v>2020</v>
      </c>
      <c r="B30" s="3">
        <v>3128605</v>
      </c>
      <c r="C30" s="3">
        <v>3775949</v>
      </c>
      <c r="D30" s="3">
        <v>3929938</v>
      </c>
      <c r="E30" s="3">
        <v>4006343</v>
      </c>
      <c r="F30" s="3">
        <v>4567739</v>
      </c>
      <c r="G30" s="3">
        <v>4759456</v>
      </c>
      <c r="H30" s="3">
        <v>4526517</v>
      </c>
      <c r="I30" s="3">
        <v>4936415</v>
      </c>
      <c r="J30" s="3">
        <v>5142297</v>
      </c>
      <c r="K30" s="3">
        <v>5175986</v>
      </c>
      <c r="L30" s="3">
        <v>5066507</v>
      </c>
      <c r="M30" s="3">
        <v>4567940</v>
      </c>
      <c r="N30" s="3">
        <v>3638101</v>
      </c>
      <c r="O30" s="3">
        <v>9151038</v>
      </c>
      <c r="P30" s="3">
        <v>66372831</v>
      </c>
    </row>
    <row r="31" spans="1:16" x14ac:dyDescent="0.25">
      <c r="A31">
        <v>2021</v>
      </c>
      <c r="B31" s="3">
        <v>3002050</v>
      </c>
      <c r="C31" s="3">
        <v>3685847</v>
      </c>
      <c r="D31" s="3">
        <v>3901042</v>
      </c>
      <c r="E31" s="3">
        <v>3985373</v>
      </c>
      <c r="F31" s="3">
        <v>4402476</v>
      </c>
      <c r="G31" s="3">
        <v>4783791</v>
      </c>
      <c r="H31" s="3">
        <v>4538584</v>
      </c>
      <c r="I31" s="3">
        <v>4831877</v>
      </c>
      <c r="J31" s="3">
        <v>5116027</v>
      </c>
      <c r="K31" s="3">
        <v>5128554</v>
      </c>
      <c r="L31" s="3">
        <v>5093090</v>
      </c>
      <c r="M31" s="3">
        <v>4660957</v>
      </c>
      <c r="N31" s="3">
        <v>3812080</v>
      </c>
      <c r="O31" s="3">
        <v>9237335</v>
      </c>
      <c r="P31" s="3">
        <v>66179083</v>
      </c>
    </row>
    <row r="32" spans="1:16" x14ac:dyDescent="0.25">
      <c r="A32">
        <v>2022</v>
      </c>
      <c r="B32" s="3">
        <v>2849971</v>
      </c>
      <c r="C32" s="3">
        <v>3558725</v>
      </c>
      <c r="D32" s="3">
        <v>3895566</v>
      </c>
      <c r="E32" s="3">
        <v>3986357</v>
      </c>
      <c r="F32" s="3">
        <v>4219252</v>
      </c>
      <c r="G32" s="3">
        <v>4794222</v>
      </c>
      <c r="H32" s="3">
        <v>4593288</v>
      </c>
      <c r="I32" s="3">
        <v>4706901</v>
      </c>
      <c r="J32" s="3">
        <v>5064422</v>
      </c>
      <c r="K32" s="3">
        <v>5093377</v>
      </c>
      <c r="L32" s="3">
        <v>5117831</v>
      </c>
      <c r="M32" s="3">
        <v>4736375</v>
      </c>
      <c r="N32" s="3">
        <v>3952987</v>
      </c>
      <c r="O32" s="3">
        <v>8342917</v>
      </c>
      <c r="P32" s="3">
        <v>66130957</v>
      </c>
    </row>
    <row r="33" spans="1:16" x14ac:dyDescent="0.25">
      <c r="A33" s="8">
        <v>2023</v>
      </c>
      <c r="B33" s="9">
        <v>2849971</v>
      </c>
      <c r="C33" s="9">
        <v>3558725</v>
      </c>
      <c r="D33" s="9">
        <v>3895566</v>
      </c>
      <c r="E33" s="9">
        <v>3986357</v>
      </c>
      <c r="F33" s="9">
        <v>4219252</v>
      </c>
      <c r="G33" s="9">
        <v>4794222</v>
      </c>
      <c r="H33" s="9">
        <v>4593288</v>
      </c>
      <c r="I33" s="9">
        <v>4706901</v>
      </c>
      <c r="J33" s="9">
        <v>5064422</v>
      </c>
      <c r="K33" s="9">
        <v>5093377</v>
      </c>
      <c r="L33" s="9">
        <v>5117831</v>
      </c>
      <c r="M33" s="9">
        <v>4736375</v>
      </c>
      <c r="N33" s="9">
        <v>3952987</v>
      </c>
      <c r="O33" s="9">
        <v>8342917</v>
      </c>
      <c r="P33" s="9">
        <v>66130957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A482-6B4D-415D-9895-A94933E586DE}">
  <dimension ref="A1:CA18"/>
  <sheetViews>
    <sheetView workbookViewId="0">
      <selection sqref="A1:CA18"/>
    </sheetView>
  </sheetViews>
  <sheetFormatPr defaultRowHeight="13.8" x14ac:dyDescent="0.25"/>
  <sheetData>
    <row r="1" spans="1:79" x14ac:dyDescent="0.25">
      <c r="A1" t="s">
        <v>37</v>
      </c>
      <c r="B1" t="s">
        <v>13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87</v>
      </c>
      <c r="BA1" t="s">
        <v>88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99</v>
      </c>
      <c r="BM1" t="s">
        <v>100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  <c r="BX1" t="s">
        <v>111</v>
      </c>
      <c r="BY1" t="s">
        <v>112</v>
      </c>
      <c r="BZ1" t="s">
        <v>113</v>
      </c>
      <c r="CA1" t="s">
        <v>114</v>
      </c>
    </row>
    <row r="2" spans="1:79" x14ac:dyDescent="0.25">
      <c r="A2">
        <v>2007</v>
      </c>
      <c r="B2">
        <v>62933515</v>
      </c>
      <c r="C2">
        <v>5706103</v>
      </c>
      <c r="D2">
        <v>1011624</v>
      </c>
      <c r="E2">
        <v>757654</v>
      </c>
      <c r="F2">
        <v>879091</v>
      </c>
      <c r="G2">
        <v>612806</v>
      </c>
      <c r="H2">
        <v>284175</v>
      </c>
      <c r="I2">
        <v>338077</v>
      </c>
      <c r="J2">
        <v>751298</v>
      </c>
      <c r="K2">
        <v>216311</v>
      </c>
      <c r="L2">
        <v>656586</v>
      </c>
      <c r="M2">
        <v>249250</v>
      </c>
      <c r="N2">
        <v>454404</v>
      </c>
      <c r="O2">
        <v>538741</v>
      </c>
      <c r="P2">
        <v>1117284</v>
      </c>
      <c r="Q2">
        <v>834865</v>
      </c>
      <c r="R2">
        <v>826438</v>
      </c>
      <c r="S2">
        <v>830184</v>
      </c>
      <c r="T2">
        <v>843245</v>
      </c>
      <c r="U2">
        <v>456371</v>
      </c>
      <c r="V2">
        <v>494502</v>
      </c>
      <c r="W2">
        <v>466222</v>
      </c>
      <c r="X2">
        <v>194602</v>
      </c>
      <c r="Y2">
        <v>503197</v>
      </c>
      <c r="Z2">
        <v>1221369</v>
      </c>
      <c r="AA2">
        <v>578628</v>
      </c>
      <c r="AB2">
        <v>220246</v>
      </c>
      <c r="AC2">
        <v>480131</v>
      </c>
      <c r="AD2">
        <v>1508729</v>
      </c>
      <c r="AE2">
        <v>502943</v>
      </c>
      <c r="AF2">
        <v>965561</v>
      </c>
      <c r="AG2">
        <v>406999</v>
      </c>
      <c r="AH2">
        <v>246141</v>
      </c>
      <c r="AI2">
        <v>308118</v>
      </c>
      <c r="AJ2">
        <v>180319</v>
      </c>
      <c r="AK2">
        <v>608892</v>
      </c>
      <c r="AL2">
        <v>709345</v>
      </c>
      <c r="AM2">
        <v>636768</v>
      </c>
      <c r="AN2">
        <v>283014</v>
      </c>
      <c r="AO2">
        <v>1321209</v>
      </c>
      <c r="AP2">
        <v>469472</v>
      </c>
      <c r="AR2">
        <v>614421</v>
      </c>
      <c r="AS2">
        <v>497148</v>
      </c>
      <c r="AT2">
        <v>901100</v>
      </c>
      <c r="AU2">
        <v>1529124</v>
      </c>
      <c r="AV2">
        <v>335778</v>
      </c>
      <c r="AW2">
        <v>696229</v>
      </c>
      <c r="AX2">
        <v>1111056</v>
      </c>
      <c r="AY2">
        <v>976536</v>
      </c>
      <c r="AZ2">
        <v>1751458</v>
      </c>
      <c r="BA2">
        <v>936846</v>
      </c>
      <c r="BB2">
        <v>1309318</v>
      </c>
      <c r="BC2">
        <v>368925</v>
      </c>
      <c r="BD2">
        <v>1444748</v>
      </c>
      <c r="BE2">
        <v>1784372</v>
      </c>
      <c r="BF2">
        <v>540216</v>
      </c>
      <c r="BG2">
        <v>1536396</v>
      </c>
      <c r="BH2">
        <v>1119372</v>
      </c>
      <c r="BI2">
        <v>2554241</v>
      </c>
      <c r="BJ2">
        <v>1373965</v>
      </c>
      <c r="BK2">
        <v>1661349</v>
      </c>
      <c r="BL2">
        <v>772202</v>
      </c>
      <c r="BM2">
        <v>405361</v>
      </c>
      <c r="BN2">
        <v>254990</v>
      </c>
      <c r="BO2">
        <v>1225364</v>
      </c>
      <c r="BP2">
        <v>477522</v>
      </c>
      <c r="BQ2">
        <v>486399</v>
      </c>
      <c r="BR2">
        <v>467125</v>
      </c>
      <c r="BS2">
        <v>999924</v>
      </c>
      <c r="BT2">
        <v>843096</v>
      </c>
      <c r="BU2">
        <v>607061</v>
      </c>
      <c r="BV2">
        <v>529303</v>
      </c>
      <c r="BW2">
        <v>466380</v>
      </c>
      <c r="BX2">
        <v>727158</v>
      </c>
      <c r="BY2">
        <v>1074849</v>
      </c>
      <c r="BZ2">
        <v>556287</v>
      </c>
      <c r="CA2">
        <v>326982</v>
      </c>
    </row>
    <row r="3" spans="1:79" x14ac:dyDescent="0.25">
      <c r="A3">
        <v>2008</v>
      </c>
      <c r="B3">
        <v>63214022</v>
      </c>
      <c r="C3">
        <v>5713566</v>
      </c>
      <c r="D3">
        <v>1038392</v>
      </c>
      <c r="E3">
        <v>764919</v>
      </c>
      <c r="F3">
        <v>913047</v>
      </c>
      <c r="G3">
        <v>618699</v>
      </c>
      <c r="H3">
        <v>284619</v>
      </c>
      <c r="I3">
        <v>336550</v>
      </c>
      <c r="J3">
        <v>751811</v>
      </c>
      <c r="K3">
        <v>215602</v>
      </c>
      <c r="L3">
        <v>661898</v>
      </c>
      <c r="M3">
        <v>249625</v>
      </c>
      <c r="N3">
        <v>457184</v>
      </c>
      <c r="O3">
        <v>540281</v>
      </c>
      <c r="P3">
        <v>1137082</v>
      </c>
      <c r="Q3">
        <v>838094</v>
      </c>
      <c r="R3">
        <v>837285</v>
      </c>
      <c r="S3">
        <v>833650</v>
      </c>
      <c r="T3">
        <v>843541</v>
      </c>
      <c r="U3">
        <v>457518</v>
      </c>
      <c r="V3">
        <v>497483</v>
      </c>
      <c r="W3">
        <v>474041</v>
      </c>
      <c r="X3">
        <v>194134</v>
      </c>
      <c r="Y3">
        <v>506012</v>
      </c>
      <c r="Z3">
        <v>1249067</v>
      </c>
      <c r="AA3">
        <v>591067</v>
      </c>
      <c r="AB3">
        <v>221185</v>
      </c>
      <c r="AC3">
        <v>483011</v>
      </c>
      <c r="AD3">
        <v>1510081</v>
      </c>
      <c r="AE3">
        <v>503847</v>
      </c>
      <c r="AF3">
        <v>976956</v>
      </c>
      <c r="AG3">
        <v>414670</v>
      </c>
      <c r="AH3">
        <v>248411</v>
      </c>
      <c r="AI3">
        <v>321252</v>
      </c>
      <c r="AJ3">
        <v>181758</v>
      </c>
      <c r="AK3">
        <v>612601</v>
      </c>
      <c r="AL3">
        <v>715724</v>
      </c>
      <c r="AM3">
        <v>639988</v>
      </c>
      <c r="AN3">
        <v>286446</v>
      </c>
      <c r="AO3">
        <v>1330342</v>
      </c>
      <c r="AP3">
        <v>473109</v>
      </c>
      <c r="AR3">
        <v>616981</v>
      </c>
      <c r="AS3">
        <v>498562</v>
      </c>
      <c r="AT3">
        <v>904748</v>
      </c>
      <c r="AU3">
        <v>1533158</v>
      </c>
      <c r="AV3">
        <v>336802</v>
      </c>
      <c r="AW3">
        <v>698235</v>
      </c>
      <c r="AX3">
        <v>1114550</v>
      </c>
      <c r="AY3">
        <v>978046</v>
      </c>
      <c r="AZ3">
        <v>1754258</v>
      </c>
      <c r="BA3">
        <v>936430</v>
      </c>
      <c r="BB3">
        <v>1307901</v>
      </c>
      <c r="BC3">
        <v>369196</v>
      </c>
      <c r="BD3">
        <v>1442212</v>
      </c>
      <c r="BE3">
        <v>1790581</v>
      </c>
      <c r="BF3">
        <v>539414</v>
      </c>
      <c r="BG3">
        <v>1538861</v>
      </c>
      <c r="BH3">
        <v>1121123</v>
      </c>
      <c r="BI3">
        <v>2559006</v>
      </c>
      <c r="BJ3">
        <v>1374116</v>
      </c>
      <c r="BK3">
        <v>1667358</v>
      </c>
      <c r="BL3">
        <v>769115</v>
      </c>
      <c r="BM3">
        <v>405141</v>
      </c>
      <c r="BN3">
        <v>253748</v>
      </c>
      <c r="BO3">
        <v>1226165</v>
      </c>
      <c r="BP3">
        <v>476683</v>
      </c>
      <c r="BQ3">
        <v>486983</v>
      </c>
      <c r="BR3">
        <v>464677</v>
      </c>
      <c r="BS3">
        <v>996882</v>
      </c>
      <c r="BT3">
        <v>842840</v>
      </c>
      <c r="BU3">
        <v>604559</v>
      </c>
      <c r="BV3">
        <v>534629</v>
      </c>
      <c r="BW3">
        <v>464741</v>
      </c>
      <c r="BX3">
        <v>726104</v>
      </c>
      <c r="BY3">
        <v>1073962</v>
      </c>
      <c r="BZ3">
        <v>554426</v>
      </c>
      <c r="CA3">
        <v>327281</v>
      </c>
    </row>
    <row r="4" spans="1:79" x14ac:dyDescent="0.25">
      <c r="A4">
        <v>2009</v>
      </c>
      <c r="B4">
        <v>63457439</v>
      </c>
      <c r="C4">
        <v>5706739</v>
      </c>
      <c r="D4">
        <v>1065332</v>
      </c>
      <c r="E4">
        <v>772142</v>
      </c>
      <c r="F4">
        <v>942813</v>
      </c>
      <c r="G4">
        <v>617174</v>
      </c>
      <c r="H4">
        <v>284819</v>
      </c>
      <c r="I4">
        <v>335686</v>
      </c>
      <c r="J4">
        <v>754127</v>
      </c>
      <c r="K4">
        <v>215426</v>
      </c>
      <c r="L4">
        <v>666907</v>
      </c>
      <c r="M4">
        <v>251219</v>
      </c>
      <c r="N4">
        <v>460617</v>
      </c>
      <c r="O4">
        <v>541939</v>
      </c>
      <c r="P4">
        <v>1155665</v>
      </c>
      <c r="Q4">
        <v>837165</v>
      </c>
      <c r="R4">
        <v>847513</v>
      </c>
      <c r="S4">
        <v>835546</v>
      </c>
      <c r="T4">
        <v>844545</v>
      </c>
      <c r="U4">
        <v>460108</v>
      </c>
      <c r="V4">
        <v>502221</v>
      </c>
      <c r="W4">
        <v>481377</v>
      </c>
      <c r="X4">
        <v>193851</v>
      </c>
      <c r="Y4">
        <v>509633</v>
      </c>
      <c r="Z4">
        <v>1277139</v>
      </c>
      <c r="AA4">
        <v>605380</v>
      </c>
      <c r="AB4">
        <v>220918</v>
      </c>
      <c r="AC4">
        <v>486233</v>
      </c>
      <c r="AD4">
        <v>1514832</v>
      </c>
      <c r="AE4">
        <v>506454</v>
      </c>
      <c r="AF4">
        <v>988854</v>
      </c>
      <c r="AG4">
        <v>422631</v>
      </c>
      <c r="AH4">
        <v>250796</v>
      </c>
      <c r="AI4">
        <v>331460</v>
      </c>
      <c r="AJ4">
        <v>182242</v>
      </c>
      <c r="AK4">
        <v>616773</v>
      </c>
      <c r="AL4">
        <v>724001</v>
      </c>
      <c r="AM4">
        <v>644897</v>
      </c>
      <c r="AN4">
        <v>290755</v>
      </c>
      <c r="AO4">
        <v>1339861</v>
      </c>
      <c r="AP4">
        <v>477931</v>
      </c>
      <c r="AR4">
        <v>619602</v>
      </c>
      <c r="AS4">
        <v>500217</v>
      </c>
      <c r="AT4">
        <v>907064</v>
      </c>
      <c r="AU4">
        <v>1537285</v>
      </c>
      <c r="AV4">
        <v>337773</v>
      </c>
      <c r="AW4">
        <v>700027</v>
      </c>
      <c r="AX4">
        <v>1117242</v>
      </c>
      <c r="AY4">
        <v>979371</v>
      </c>
      <c r="AZ4">
        <v>1759172</v>
      </c>
      <c r="BA4">
        <v>937972</v>
      </c>
      <c r="BB4">
        <v>1307686</v>
      </c>
      <c r="BC4">
        <v>370141</v>
      </c>
      <c r="BD4">
        <v>1443879</v>
      </c>
      <c r="BE4">
        <v>1799604</v>
      </c>
      <c r="BF4">
        <v>539210</v>
      </c>
      <c r="BG4">
        <v>1544218</v>
      </c>
      <c r="BH4">
        <v>1123907</v>
      </c>
      <c r="BI4">
        <v>2568205</v>
      </c>
      <c r="BJ4">
        <v>1376694</v>
      </c>
      <c r="BK4">
        <v>1651433</v>
      </c>
      <c r="BL4">
        <v>766057</v>
      </c>
      <c r="BM4">
        <v>404910</v>
      </c>
      <c r="BN4">
        <v>247270</v>
      </c>
      <c r="BO4">
        <v>1211126</v>
      </c>
      <c r="BP4">
        <v>475799</v>
      </c>
      <c r="BQ4">
        <v>487254</v>
      </c>
      <c r="BR4">
        <v>462784</v>
      </c>
      <c r="BS4">
        <v>995679</v>
      </c>
      <c r="BT4">
        <v>844779</v>
      </c>
      <c r="BU4">
        <v>603316</v>
      </c>
      <c r="BV4">
        <v>528997</v>
      </c>
      <c r="BW4">
        <v>463579</v>
      </c>
      <c r="BX4">
        <v>726530</v>
      </c>
      <c r="BY4">
        <v>1073554</v>
      </c>
      <c r="BZ4">
        <v>553653</v>
      </c>
      <c r="CA4">
        <v>327729</v>
      </c>
    </row>
    <row r="5" spans="1:79" x14ac:dyDescent="0.25">
      <c r="A5">
        <v>2010</v>
      </c>
      <c r="B5">
        <v>63701703</v>
      </c>
      <c r="C5">
        <v>5701995</v>
      </c>
      <c r="D5">
        <v>1089908</v>
      </c>
      <c r="E5">
        <v>778627</v>
      </c>
      <c r="F5">
        <v>971010</v>
      </c>
      <c r="G5">
        <v>615046</v>
      </c>
      <c r="H5">
        <v>284889</v>
      </c>
      <c r="I5">
        <v>335177</v>
      </c>
      <c r="J5">
        <v>755153</v>
      </c>
      <c r="K5">
        <v>214981</v>
      </c>
      <c r="L5">
        <v>671458</v>
      </c>
      <c r="M5">
        <v>252209</v>
      </c>
      <c r="N5">
        <v>464213</v>
      </c>
      <c r="O5">
        <v>543276</v>
      </c>
      <c r="P5">
        <v>1174643</v>
      </c>
      <c r="Q5">
        <v>836600</v>
      </c>
      <c r="R5">
        <v>855837</v>
      </c>
      <c r="S5">
        <v>837153</v>
      </c>
      <c r="T5">
        <v>845220</v>
      </c>
      <c r="U5">
        <v>462636</v>
      </c>
      <c r="V5">
        <v>506599</v>
      </c>
      <c r="W5">
        <v>488247</v>
      </c>
      <c r="X5">
        <v>193853</v>
      </c>
      <c r="Y5">
        <v>512932</v>
      </c>
      <c r="Z5">
        <v>1302942</v>
      </c>
      <c r="AA5">
        <v>619249</v>
      </c>
      <c r="AB5">
        <v>220465</v>
      </c>
      <c r="AC5">
        <v>488855</v>
      </c>
      <c r="AD5">
        <v>1519531</v>
      </c>
      <c r="AE5">
        <v>508656</v>
      </c>
      <c r="AF5">
        <v>997302</v>
      </c>
      <c r="AG5">
        <v>429631</v>
      </c>
      <c r="AH5">
        <v>252385</v>
      </c>
      <c r="AI5">
        <v>340490</v>
      </c>
      <c r="AJ5">
        <v>182417</v>
      </c>
      <c r="AK5">
        <v>620668</v>
      </c>
      <c r="AL5">
        <v>732617</v>
      </c>
      <c r="AM5">
        <v>651442</v>
      </c>
      <c r="AN5">
        <v>295133</v>
      </c>
      <c r="AO5">
        <v>1350489</v>
      </c>
      <c r="AP5">
        <v>483857</v>
      </c>
      <c r="AR5">
        <v>622424</v>
      </c>
      <c r="AS5">
        <v>501891</v>
      </c>
      <c r="AT5">
        <v>910094</v>
      </c>
      <c r="AU5">
        <v>1541863</v>
      </c>
      <c r="AV5">
        <v>338812</v>
      </c>
      <c r="AW5">
        <v>702041</v>
      </c>
      <c r="AX5">
        <v>1120678</v>
      </c>
      <c r="AY5">
        <v>981369</v>
      </c>
      <c r="AZ5">
        <v>1764922</v>
      </c>
      <c r="BA5">
        <v>940001</v>
      </c>
      <c r="BB5">
        <v>1308934</v>
      </c>
      <c r="BC5">
        <v>371471</v>
      </c>
      <c r="BD5">
        <v>1449409</v>
      </c>
      <c r="BE5">
        <v>1808422</v>
      </c>
      <c r="BF5">
        <v>539196</v>
      </c>
      <c r="BG5">
        <v>1550275</v>
      </c>
      <c r="BH5">
        <v>1126295</v>
      </c>
      <c r="BI5">
        <v>2576691</v>
      </c>
      <c r="BJ5">
        <v>1379794</v>
      </c>
      <c r="BK5">
        <v>1636514</v>
      </c>
      <c r="BL5">
        <v>763224</v>
      </c>
      <c r="BM5">
        <v>404627</v>
      </c>
      <c r="BN5">
        <v>242295</v>
      </c>
      <c r="BO5">
        <v>1196576</v>
      </c>
      <c r="BP5">
        <v>475989</v>
      </c>
      <c r="BQ5">
        <v>486713</v>
      </c>
      <c r="BR5">
        <v>461423</v>
      </c>
      <c r="BS5">
        <v>995578</v>
      </c>
      <c r="BT5">
        <v>847627</v>
      </c>
      <c r="BU5">
        <v>602296</v>
      </c>
      <c r="BV5">
        <v>522673</v>
      </c>
      <c r="BW5">
        <v>462785</v>
      </c>
      <c r="BX5">
        <v>726970</v>
      </c>
      <c r="BY5">
        <v>1073182</v>
      </c>
      <c r="BZ5">
        <v>552942</v>
      </c>
      <c r="CA5">
        <v>327916</v>
      </c>
    </row>
    <row r="6" spans="1:79" x14ac:dyDescent="0.25">
      <c r="A6">
        <v>2011</v>
      </c>
      <c r="B6">
        <v>63977185</v>
      </c>
      <c r="C6">
        <v>5688119</v>
      </c>
      <c r="D6">
        <v>1112185</v>
      </c>
      <c r="E6">
        <v>784875</v>
      </c>
      <c r="F6">
        <v>998271</v>
      </c>
      <c r="G6">
        <v>618919</v>
      </c>
      <c r="H6">
        <v>284516</v>
      </c>
      <c r="I6">
        <v>334096</v>
      </c>
      <c r="J6">
        <v>755991</v>
      </c>
      <c r="K6">
        <v>214124</v>
      </c>
      <c r="L6">
        <v>676652</v>
      </c>
      <c r="M6">
        <v>253283</v>
      </c>
      <c r="N6">
        <v>468113</v>
      </c>
      <c r="O6">
        <v>544848</v>
      </c>
      <c r="P6">
        <v>1194202</v>
      </c>
      <c r="Q6">
        <v>839345</v>
      </c>
      <c r="R6">
        <v>863155</v>
      </c>
      <c r="S6">
        <v>840880</v>
      </c>
      <c r="T6">
        <v>845452</v>
      </c>
      <c r="U6">
        <v>465056</v>
      </c>
      <c r="V6">
        <v>510852</v>
      </c>
      <c r="W6">
        <v>495493</v>
      </c>
      <c r="X6">
        <v>194072</v>
      </c>
      <c r="Y6">
        <v>515736</v>
      </c>
      <c r="Z6">
        <v>1327475</v>
      </c>
      <c r="AA6">
        <v>632069</v>
      </c>
      <c r="AB6">
        <v>221467</v>
      </c>
      <c r="AC6">
        <v>491073</v>
      </c>
      <c r="AD6">
        <v>1524317</v>
      </c>
      <c r="AE6">
        <v>510299</v>
      </c>
      <c r="AF6">
        <v>1006224</v>
      </c>
      <c r="AG6">
        <v>435372</v>
      </c>
      <c r="AH6">
        <v>254022</v>
      </c>
      <c r="AI6">
        <v>349457</v>
      </c>
      <c r="AJ6">
        <v>183464</v>
      </c>
      <c r="AK6">
        <v>624684</v>
      </c>
      <c r="AL6">
        <v>742268</v>
      </c>
      <c r="AM6">
        <v>659373</v>
      </c>
      <c r="AN6">
        <v>299315</v>
      </c>
      <c r="AO6">
        <v>1362017</v>
      </c>
      <c r="AP6">
        <v>490574</v>
      </c>
      <c r="AQ6">
        <v>203818</v>
      </c>
      <c r="AR6">
        <v>624493</v>
      </c>
      <c r="AS6">
        <v>502710</v>
      </c>
      <c r="AT6">
        <v>711404</v>
      </c>
      <c r="AU6">
        <v>1546447</v>
      </c>
      <c r="AV6">
        <v>340079</v>
      </c>
      <c r="AW6">
        <v>704080</v>
      </c>
      <c r="AX6">
        <v>1123129</v>
      </c>
      <c r="AY6">
        <v>982117</v>
      </c>
      <c r="AZ6">
        <v>1766834</v>
      </c>
      <c r="BA6">
        <v>940324</v>
      </c>
      <c r="BB6">
        <v>1307384</v>
      </c>
      <c r="BC6">
        <v>372190</v>
      </c>
      <c r="BD6">
        <v>1452338</v>
      </c>
      <c r="BE6">
        <v>1814573</v>
      </c>
      <c r="BF6">
        <v>539055</v>
      </c>
      <c r="BG6">
        <v>1556426</v>
      </c>
      <c r="BH6">
        <v>1127423</v>
      </c>
      <c r="BI6">
        <v>2583707</v>
      </c>
      <c r="BJ6">
        <v>1381081</v>
      </c>
      <c r="BK6">
        <v>1643312</v>
      </c>
      <c r="BL6">
        <v>759742</v>
      </c>
      <c r="BM6">
        <v>404257</v>
      </c>
      <c r="BN6">
        <v>243395</v>
      </c>
      <c r="BO6">
        <v>1198438</v>
      </c>
      <c r="BP6">
        <v>476488</v>
      </c>
      <c r="BQ6">
        <v>486388</v>
      </c>
      <c r="BR6">
        <v>459753</v>
      </c>
      <c r="BS6">
        <v>993420</v>
      </c>
      <c r="BT6">
        <v>850525</v>
      </c>
      <c r="BU6">
        <v>601642</v>
      </c>
      <c r="BV6">
        <v>528351</v>
      </c>
      <c r="BW6">
        <v>461829</v>
      </c>
      <c r="BX6">
        <v>726551</v>
      </c>
      <c r="BY6">
        <v>1072591</v>
      </c>
      <c r="BZ6">
        <v>551189</v>
      </c>
      <c r="CA6">
        <v>327997</v>
      </c>
    </row>
    <row r="7" spans="1:79" x14ac:dyDescent="0.25">
      <c r="A7">
        <v>2012</v>
      </c>
      <c r="B7">
        <v>64075986</v>
      </c>
      <c r="C7">
        <v>5674843</v>
      </c>
      <c r="D7">
        <v>1122627</v>
      </c>
      <c r="E7">
        <v>787653</v>
      </c>
      <c r="F7">
        <v>1010898</v>
      </c>
      <c r="G7">
        <v>620454</v>
      </c>
      <c r="H7">
        <v>284061</v>
      </c>
      <c r="I7">
        <v>333256</v>
      </c>
      <c r="J7">
        <v>756127</v>
      </c>
      <c r="K7">
        <v>213587</v>
      </c>
      <c r="L7">
        <v>679370</v>
      </c>
      <c r="M7">
        <v>253831</v>
      </c>
      <c r="N7">
        <v>469652</v>
      </c>
      <c r="O7">
        <v>545596</v>
      </c>
      <c r="P7">
        <v>1203223</v>
      </c>
      <c r="Q7">
        <v>838914</v>
      </c>
      <c r="R7">
        <v>866064</v>
      </c>
      <c r="S7">
        <v>842684</v>
      </c>
      <c r="T7">
        <v>845053</v>
      </c>
      <c r="U7">
        <v>466079</v>
      </c>
      <c r="V7">
        <v>512568</v>
      </c>
      <c r="W7">
        <v>499098</v>
      </c>
      <c r="X7">
        <v>194086</v>
      </c>
      <c r="Y7">
        <v>516855</v>
      </c>
      <c r="Z7">
        <v>1338656</v>
      </c>
      <c r="AA7">
        <v>637736</v>
      </c>
      <c r="AB7">
        <v>222013</v>
      </c>
      <c r="AC7">
        <v>492182</v>
      </c>
      <c r="AD7">
        <v>1526071</v>
      </c>
      <c r="AE7">
        <v>511016</v>
      </c>
      <c r="AF7">
        <v>1012064</v>
      </c>
      <c r="AG7">
        <v>438039</v>
      </c>
      <c r="AH7">
        <v>254931</v>
      </c>
      <c r="AI7">
        <v>353847</v>
      </c>
      <c r="AJ7">
        <v>183849</v>
      </c>
      <c r="AK7">
        <v>626708</v>
      </c>
      <c r="AL7">
        <v>747372</v>
      </c>
      <c r="AM7">
        <v>663485</v>
      </c>
      <c r="AN7">
        <v>301467</v>
      </c>
      <c r="AO7">
        <v>1367010</v>
      </c>
      <c r="AP7">
        <v>493767</v>
      </c>
      <c r="AQ7">
        <v>407634</v>
      </c>
      <c r="AR7">
        <v>624920</v>
      </c>
      <c r="AS7">
        <v>502551</v>
      </c>
      <c r="AT7">
        <v>509870</v>
      </c>
      <c r="AU7">
        <v>1548107</v>
      </c>
      <c r="AV7">
        <v>340581</v>
      </c>
      <c r="AW7">
        <v>704768</v>
      </c>
      <c r="AX7">
        <v>1123351</v>
      </c>
      <c r="AY7">
        <v>981655</v>
      </c>
      <c r="AZ7">
        <v>1766066</v>
      </c>
      <c r="BA7">
        <v>939736</v>
      </c>
      <c r="BB7">
        <v>1305058</v>
      </c>
      <c r="BC7">
        <v>372241</v>
      </c>
      <c r="BD7">
        <v>1452203</v>
      </c>
      <c r="BE7">
        <v>1816057</v>
      </c>
      <c r="BF7">
        <v>538853</v>
      </c>
      <c r="BG7">
        <v>1559085</v>
      </c>
      <c r="BH7">
        <v>1127423</v>
      </c>
      <c r="BI7">
        <v>2585325</v>
      </c>
      <c r="BJ7">
        <v>1380399</v>
      </c>
      <c r="BK7">
        <v>1646144</v>
      </c>
      <c r="BL7">
        <v>757534</v>
      </c>
      <c r="BM7">
        <v>403952</v>
      </c>
      <c r="BN7">
        <v>244048</v>
      </c>
      <c r="BO7">
        <v>1198656</v>
      </c>
      <c r="BP7">
        <v>476612</v>
      </c>
      <c r="BQ7">
        <v>486472</v>
      </c>
      <c r="BR7">
        <v>458750</v>
      </c>
      <c r="BS7">
        <v>990807</v>
      </c>
      <c r="BT7">
        <v>851357</v>
      </c>
      <c r="BU7">
        <v>601504</v>
      </c>
      <c r="BV7">
        <v>531018</v>
      </c>
      <c r="BW7">
        <v>461040</v>
      </c>
      <c r="BX7">
        <v>726009</v>
      </c>
      <c r="BY7">
        <v>1071686</v>
      </c>
      <c r="BZ7">
        <v>549688</v>
      </c>
      <c r="CA7">
        <v>328034</v>
      </c>
    </row>
    <row r="8" spans="1:79" x14ac:dyDescent="0.25">
      <c r="A8">
        <v>2013</v>
      </c>
      <c r="B8">
        <v>64076033</v>
      </c>
      <c r="C8">
        <v>5674843</v>
      </c>
      <c r="D8">
        <v>1122627</v>
      </c>
      <c r="E8">
        <v>787653</v>
      </c>
      <c r="F8">
        <v>1010898</v>
      </c>
      <c r="G8">
        <v>620454</v>
      </c>
      <c r="H8">
        <v>284061</v>
      </c>
      <c r="I8">
        <v>333256</v>
      </c>
      <c r="J8">
        <v>756127</v>
      </c>
      <c r="K8">
        <v>213587</v>
      </c>
      <c r="L8">
        <v>679370</v>
      </c>
      <c r="M8">
        <v>253831</v>
      </c>
      <c r="N8">
        <v>469652</v>
      </c>
      <c r="O8">
        <v>545596</v>
      </c>
      <c r="P8">
        <v>1203223</v>
      </c>
      <c r="Q8">
        <v>838914</v>
      </c>
      <c r="R8">
        <v>866064</v>
      </c>
      <c r="S8">
        <v>842684</v>
      </c>
      <c r="T8">
        <v>845053</v>
      </c>
      <c r="U8">
        <v>466079</v>
      </c>
      <c r="V8">
        <v>512568</v>
      </c>
      <c r="W8">
        <v>499098</v>
      </c>
      <c r="X8">
        <v>194086</v>
      </c>
      <c r="Y8">
        <v>516855</v>
      </c>
      <c r="Z8">
        <v>1338656</v>
      </c>
      <c r="AA8">
        <v>637736</v>
      </c>
      <c r="AB8">
        <v>222013</v>
      </c>
      <c r="AC8">
        <v>492182</v>
      </c>
      <c r="AD8">
        <v>1526071</v>
      </c>
      <c r="AE8">
        <v>511063</v>
      </c>
      <c r="AF8">
        <v>1012064</v>
      </c>
      <c r="AG8">
        <v>438039</v>
      </c>
      <c r="AH8">
        <v>254931</v>
      </c>
      <c r="AI8">
        <v>353847</v>
      </c>
      <c r="AJ8">
        <v>183849</v>
      </c>
      <c r="AK8">
        <v>626708</v>
      </c>
      <c r="AL8">
        <v>747372</v>
      </c>
      <c r="AM8">
        <v>663485</v>
      </c>
      <c r="AN8">
        <v>301467</v>
      </c>
      <c r="AO8">
        <v>1367010</v>
      </c>
      <c r="AP8">
        <v>493767</v>
      </c>
      <c r="AQ8">
        <v>407634</v>
      </c>
      <c r="AR8">
        <v>624920</v>
      </c>
      <c r="AS8">
        <v>502551</v>
      </c>
      <c r="AT8">
        <v>509870</v>
      </c>
      <c r="AU8">
        <v>1548107</v>
      </c>
      <c r="AV8">
        <v>340581</v>
      </c>
      <c r="AW8">
        <v>704768</v>
      </c>
      <c r="AX8">
        <v>1123351</v>
      </c>
      <c r="AY8">
        <v>981655</v>
      </c>
      <c r="AZ8">
        <v>1766066</v>
      </c>
      <c r="BA8">
        <v>939736</v>
      </c>
      <c r="BB8">
        <v>1305058</v>
      </c>
      <c r="BC8">
        <v>372241</v>
      </c>
      <c r="BD8">
        <v>1452203</v>
      </c>
      <c r="BE8">
        <v>1816057</v>
      </c>
      <c r="BF8">
        <v>538853</v>
      </c>
      <c r="BG8">
        <v>1559085</v>
      </c>
      <c r="BH8">
        <v>1127423</v>
      </c>
      <c r="BI8">
        <v>2585325</v>
      </c>
      <c r="BJ8">
        <v>1380399</v>
      </c>
      <c r="BK8">
        <v>1646144</v>
      </c>
      <c r="BL8">
        <v>757534</v>
      </c>
      <c r="BM8">
        <v>403952</v>
      </c>
      <c r="BN8">
        <v>244048</v>
      </c>
      <c r="BO8">
        <v>1198656</v>
      </c>
      <c r="BP8">
        <v>476612</v>
      </c>
      <c r="BQ8">
        <v>486472</v>
      </c>
      <c r="BR8">
        <v>458750</v>
      </c>
      <c r="BS8">
        <v>990807</v>
      </c>
      <c r="BT8">
        <v>851357</v>
      </c>
      <c r="BU8">
        <v>601504</v>
      </c>
      <c r="BV8">
        <v>531018</v>
      </c>
      <c r="BW8">
        <v>461040</v>
      </c>
      <c r="BX8">
        <v>726009</v>
      </c>
      <c r="BY8">
        <v>1071686</v>
      </c>
      <c r="BZ8">
        <v>549688</v>
      </c>
      <c r="CA8">
        <v>328034</v>
      </c>
    </row>
    <row r="9" spans="1:79" x14ac:dyDescent="0.25">
      <c r="A9">
        <v>2014</v>
      </c>
      <c r="B9">
        <v>64955313</v>
      </c>
      <c r="C9">
        <v>5689268</v>
      </c>
      <c r="D9">
        <v>1165070</v>
      </c>
      <c r="E9">
        <v>800785</v>
      </c>
      <c r="F9">
        <v>1063608</v>
      </c>
      <c r="G9">
        <v>631338</v>
      </c>
      <c r="H9">
        <v>283650</v>
      </c>
      <c r="I9">
        <v>332526</v>
      </c>
      <c r="J9">
        <v>758188</v>
      </c>
      <c r="K9">
        <v>212424</v>
      </c>
      <c r="L9">
        <v>692852</v>
      </c>
      <c r="M9">
        <v>256693</v>
      </c>
      <c r="N9">
        <v>477741</v>
      </c>
      <c r="O9">
        <v>551562</v>
      </c>
      <c r="P9">
        <v>1251570</v>
      </c>
      <c r="Q9">
        <v>845540</v>
      </c>
      <c r="R9">
        <v>886627</v>
      </c>
      <c r="S9">
        <v>851689</v>
      </c>
      <c r="T9">
        <v>848559</v>
      </c>
      <c r="U9">
        <v>472640</v>
      </c>
      <c r="V9">
        <v>522689</v>
      </c>
      <c r="W9">
        <v>525672</v>
      </c>
      <c r="X9">
        <v>194153</v>
      </c>
      <c r="Y9">
        <v>525805</v>
      </c>
      <c r="Z9">
        <v>1405889</v>
      </c>
      <c r="AA9">
        <v>667806</v>
      </c>
      <c r="AB9">
        <v>224370</v>
      </c>
      <c r="AC9">
        <v>499435</v>
      </c>
      <c r="AD9">
        <v>1544936</v>
      </c>
      <c r="AE9">
        <v>519220</v>
      </c>
      <c r="AF9">
        <v>1036021</v>
      </c>
      <c r="AG9">
        <v>453850</v>
      </c>
      <c r="AH9">
        <v>260395</v>
      </c>
      <c r="AI9">
        <v>373943</v>
      </c>
      <c r="AJ9">
        <v>175933</v>
      </c>
      <c r="AK9">
        <v>637395</v>
      </c>
      <c r="AL9">
        <v>770472</v>
      </c>
      <c r="AM9">
        <v>682512</v>
      </c>
      <c r="AN9">
        <v>311233</v>
      </c>
      <c r="AO9">
        <v>1395596</v>
      </c>
      <c r="AP9">
        <v>509025</v>
      </c>
      <c r="AQ9">
        <v>417401</v>
      </c>
      <c r="AR9">
        <v>633359</v>
      </c>
      <c r="AS9">
        <v>508001</v>
      </c>
      <c r="AT9">
        <v>516101</v>
      </c>
      <c r="AU9">
        <v>1567132</v>
      </c>
      <c r="AV9">
        <v>345159</v>
      </c>
      <c r="AW9">
        <v>712101</v>
      </c>
      <c r="AX9">
        <v>1136466</v>
      </c>
      <c r="AY9">
        <v>984468</v>
      </c>
      <c r="AZ9">
        <v>1785852</v>
      </c>
      <c r="BA9">
        <v>958116</v>
      </c>
      <c r="BB9">
        <v>1308638</v>
      </c>
      <c r="BC9">
        <v>375039</v>
      </c>
      <c r="BD9">
        <v>1463620</v>
      </c>
      <c r="BE9">
        <v>1840596</v>
      </c>
      <c r="BF9">
        <v>540297</v>
      </c>
      <c r="BG9">
        <v>1576343</v>
      </c>
      <c r="BH9">
        <v>1136386</v>
      </c>
      <c r="BI9">
        <v>2615340</v>
      </c>
      <c r="BJ9">
        <v>1389915</v>
      </c>
      <c r="BK9">
        <v>1672586</v>
      </c>
      <c r="BL9">
        <v>753937</v>
      </c>
      <c r="BM9">
        <v>405368</v>
      </c>
      <c r="BN9">
        <v>247364</v>
      </c>
      <c r="BO9">
        <v>1206180</v>
      </c>
      <c r="BP9">
        <v>478088</v>
      </c>
      <c r="BQ9">
        <v>485599</v>
      </c>
      <c r="BR9">
        <v>455078</v>
      </c>
      <c r="BS9">
        <v>995102</v>
      </c>
      <c r="BT9">
        <v>857682</v>
      </c>
      <c r="BU9">
        <v>602586</v>
      </c>
      <c r="BV9">
        <v>535953</v>
      </c>
      <c r="BW9">
        <v>460698</v>
      </c>
      <c r="BX9">
        <v>729076</v>
      </c>
      <c r="BY9">
        <v>1072949</v>
      </c>
      <c r="BZ9">
        <v>548199</v>
      </c>
      <c r="CA9">
        <v>329858</v>
      </c>
    </row>
    <row r="10" spans="1:79" x14ac:dyDescent="0.25">
      <c r="A10">
        <v>2015</v>
      </c>
      <c r="B10">
        <v>65124716</v>
      </c>
      <c r="C10">
        <v>5692284</v>
      </c>
      <c r="D10">
        <v>1173870</v>
      </c>
      <c r="E10">
        <v>803599</v>
      </c>
      <c r="F10">
        <v>1074058</v>
      </c>
      <c r="G10">
        <v>633460</v>
      </c>
      <c r="H10">
        <v>283568</v>
      </c>
      <c r="I10">
        <v>332283</v>
      </c>
      <c r="J10">
        <v>758406</v>
      </c>
      <c r="K10">
        <v>212158</v>
      </c>
      <c r="L10">
        <v>695478</v>
      </c>
      <c r="M10">
        <v>257300</v>
      </c>
      <c r="N10">
        <v>479314</v>
      </c>
      <c r="O10">
        <v>552187</v>
      </c>
      <c r="P10">
        <v>1261530</v>
      </c>
      <c r="Q10">
        <v>848198</v>
      </c>
      <c r="R10">
        <v>891071</v>
      </c>
      <c r="S10">
        <v>853217</v>
      </c>
      <c r="T10">
        <v>849053</v>
      </c>
      <c r="U10">
        <v>474192</v>
      </c>
      <c r="V10">
        <v>525107</v>
      </c>
      <c r="W10">
        <v>531887</v>
      </c>
      <c r="X10">
        <v>194189</v>
      </c>
      <c r="Y10">
        <v>527350</v>
      </c>
      <c r="Z10">
        <v>1421425</v>
      </c>
      <c r="AA10">
        <v>674393</v>
      </c>
      <c r="AB10">
        <v>224730</v>
      </c>
      <c r="AC10">
        <v>500575</v>
      </c>
      <c r="AD10">
        <v>1548028</v>
      </c>
      <c r="AE10">
        <v>520419</v>
      </c>
      <c r="AF10">
        <v>1040230</v>
      </c>
      <c r="AG10">
        <v>456811</v>
      </c>
      <c r="AH10">
        <v>261370</v>
      </c>
      <c r="AI10">
        <v>378364</v>
      </c>
      <c r="AJ10">
        <v>177089</v>
      </c>
      <c r="AK10">
        <v>638746</v>
      </c>
      <c r="AL10">
        <v>774799</v>
      </c>
      <c r="AM10">
        <v>686186</v>
      </c>
      <c r="AN10">
        <v>312673</v>
      </c>
      <c r="AO10">
        <v>1401303</v>
      </c>
      <c r="AP10">
        <v>511911</v>
      </c>
      <c r="AQ10">
        <v>418566</v>
      </c>
      <c r="AR10">
        <v>634513</v>
      </c>
      <c r="AS10">
        <v>508864</v>
      </c>
      <c r="AT10">
        <v>517260</v>
      </c>
      <c r="AU10">
        <v>1570300</v>
      </c>
      <c r="AV10">
        <v>346016</v>
      </c>
      <c r="AW10">
        <v>713341</v>
      </c>
      <c r="AX10">
        <v>1138609</v>
      </c>
      <c r="AY10">
        <v>984907</v>
      </c>
      <c r="AZ10">
        <v>1790049</v>
      </c>
      <c r="BA10">
        <v>960588</v>
      </c>
      <c r="BB10">
        <v>1308318</v>
      </c>
      <c r="BC10">
        <v>375380</v>
      </c>
      <c r="BD10">
        <v>1465213</v>
      </c>
      <c r="BE10">
        <v>1844669</v>
      </c>
      <c r="BF10">
        <v>540211</v>
      </c>
      <c r="BG10">
        <v>1579248</v>
      </c>
      <c r="BH10">
        <v>1137049</v>
      </c>
      <c r="BI10">
        <v>2620517</v>
      </c>
      <c r="BJ10">
        <v>1391636</v>
      </c>
      <c r="BK10">
        <v>1678284</v>
      </c>
      <c r="BL10">
        <v>753013</v>
      </c>
      <c r="BM10">
        <v>405468</v>
      </c>
      <c r="BN10">
        <v>248178</v>
      </c>
      <c r="BO10">
        <v>1207699</v>
      </c>
      <c r="BP10">
        <v>478264</v>
      </c>
      <c r="BQ10">
        <v>484454</v>
      </c>
      <c r="BR10">
        <v>454083</v>
      </c>
      <c r="BS10">
        <v>995807</v>
      </c>
      <c r="BT10">
        <v>858988</v>
      </c>
      <c r="BU10">
        <v>602460</v>
      </c>
      <c r="BV10">
        <v>539553</v>
      </c>
      <c r="BW10">
        <v>460400</v>
      </c>
      <c r="BX10">
        <v>729522</v>
      </c>
      <c r="BY10">
        <v>1072756</v>
      </c>
      <c r="BZ10">
        <v>547543</v>
      </c>
      <c r="CA10">
        <v>330179</v>
      </c>
    </row>
    <row r="11" spans="1:79" x14ac:dyDescent="0.25">
      <c r="A11">
        <v>2016</v>
      </c>
      <c r="B11">
        <v>65426907</v>
      </c>
      <c r="C11">
        <v>5694347</v>
      </c>
      <c r="D11">
        <v>1183791</v>
      </c>
      <c r="E11">
        <v>805980</v>
      </c>
      <c r="F11">
        <v>1084154</v>
      </c>
      <c r="G11">
        <v>635567</v>
      </c>
      <c r="H11">
        <v>283371</v>
      </c>
      <c r="I11">
        <v>331968</v>
      </c>
      <c r="J11">
        <v>758531</v>
      </c>
      <c r="K11">
        <v>211792</v>
      </c>
      <c r="L11">
        <v>698190</v>
      </c>
      <c r="M11">
        <v>257939</v>
      </c>
      <c r="N11">
        <v>480755</v>
      </c>
      <c r="O11">
        <v>554555</v>
      </c>
      <c r="P11">
        <v>1270420</v>
      </c>
      <c r="Q11">
        <v>865172</v>
      </c>
      <c r="R11">
        <v>895207</v>
      </c>
      <c r="S11">
        <v>860549</v>
      </c>
      <c r="T11">
        <v>849376</v>
      </c>
      <c r="U11">
        <v>476391</v>
      </c>
      <c r="V11">
        <v>529912</v>
      </c>
      <c r="W11">
        <v>538671</v>
      </c>
      <c r="X11">
        <v>194283</v>
      </c>
      <c r="Y11">
        <v>529194</v>
      </c>
      <c r="Z11">
        <v>1438231</v>
      </c>
      <c r="AA11">
        <v>681696</v>
      </c>
      <c r="AB11">
        <v>227083</v>
      </c>
      <c r="AC11">
        <v>503203</v>
      </c>
      <c r="AD11">
        <v>1550278</v>
      </c>
      <c r="AE11">
        <v>521570</v>
      </c>
      <c r="AF11">
        <v>1043501</v>
      </c>
      <c r="AG11">
        <v>459456</v>
      </c>
      <c r="AH11">
        <v>262721</v>
      </c>
      <c r="AI11">
        <v>382485</v>
      </c>
      <c r="AJ11">
        <v>182313</v>
      </c>
      <c r="AK11">
        <v>639770</v>
      </c>
      <c r="AL11">
        <v>778941</v>
      </c>
      <c r="AM11">
        <v>690104</v>
      </c>
      <c r="AN11">
        <v>314297</v>
      </c>
      <c r="AO11">
        <v>1405939</v>
      </c>
      <c r="AP11">
        <v>515025</v>
      </c>
      <c r="AQ11">
        <v>419607</v>
      </c>
      <c r="AR11">
        <v>636666</v>
      </c>
      <c r="AS11">
        <v>509469</v>
      </c>
      <c r="AT11">
        <v>518420</v>
      </c>
      <c r="AU11">
        <v>1572726</v>
      </c>
      <c r="AV11">
        <v>347059</v>
      </c>
      <c r="AW11">
        <v>714369</v>
      </c>
      <c r="AX11">
        <v>1140673</v>
      </c>
      <c r="AY11">
        <v>985055</v>
      </c>
      <c r="AZ11">
        <v>1794032</v>
      </c>
      <c r="BA11">
        <v>962592</v>
      </c>
      <c r="BB11">
        <v>1308241</v>
      </c>
      <c r="BC11">
        <v>375881</v>
      </c>
      <c r="BD11">
        <v>1467006</v>
      </c>
      <c r="BE11">
        <v>1851049</v>
      </c>
      <c r="BF11">
        <v>540197</v>
      </c>
      <c r="BG11">
        <v>1581955</v>
      </c>
      <c r="BH11">
        <v>1137651</v>
      </c>
      <c r="BI11">
        <v>2624668</v>
      </c>
      <c r="BJ11">
        <v>1393330</v>
      </c>
      <c r="BK11">
        <v>1703263</v>
      </c>
      <c r="BL11">
        <v>752685</v>
      </c>
      <c r="BM11">
        <v>405927</v>
      </c>
      <c r="BN11">
        <v>260971</v>
      </c>
      <c r="BO11">
        <v>1242825</v>
      </c>
      <c r="BP11">
        <v>478890</v>
      </c>
      <c r="BQ11">
        <v>483550</v>
      </c>
      <c r="BR11">
        <v>453213</v>
      </c>
      <c r="BS11">
        <v>996397</v>
      </c>
      <c r="BT11">
        <v>861194</v>
      </c>
      <c r="BU11">
        <v>602085</v>
      </c>
      <c r="BV11">
        <v>578968</v>
      </c>
      <c r="BW11">
        <v>460084</v>
      </c>
      <c r="BX11">
        <v>729839</v>
      </c>
      <c r="BY11">
        <v>1072349</v>
      </c>
      <c r="BZ11">
        <v>546750</v>
      </c>
      <c r="CA11">
        <v>330543</v>
      </c>
    </row>
    <row r="12" spans="1:79" x14ac:dyDescent="0.25">
      <c r="A12">
        <v>2017</v>
      </c>
      <c r="B12">
        <v>66060027</v>
      </c>
      <c r="C12">
        <v>5684531</v>
      </c>
      <c r="D12">
        <v>1220829</v>
      </c>
      <c r="E12">
        <v>812086</v>
      </c>
      <c r="F12">
        <v>1120246</v>
      </c>
      <c r="G12">
        <v>641052</v>
      </c>
      <c r="H12">
        <v>281796</v>
      </c>
      <c r="I12">
        <v>330077</v>
      </c>
      <c r="J12">
        <v>757296</v>
      </c>
      <c r="K12">
        <v>210337</v>
      </c>
      <c r="L12">
        <v>707145</v>
      </c>
      <c r="M12">
        <v>258850</v>
      </c>
      <c r="N12">
        <v>486187</v>
      </c>
      <c r="O12">
        <v>560478</v>
      </c>
      <c r="P12">
        <v>1302160</v>
      </c>
      <c r="Q12">
        <v>886546</v>
      </c>
      <c r="R12">
        <v>908249</v>
      </c>
      <c r="S12">
        <v>870769</v>
      </c>
      <c r="T12">
        <v>850285</v>
      </c>
      <c r="U12">
        <v>481514</v>
      </c>
      <c r="V12">
        <v>541756</v>
      </c>
      <c r="W12">
        <v>562592</v>
      </c>
      <c r="X12">
        <v>193985</v>
      </c>
      <c r="Y12">
        <v>533463</v>
      </c>
      <c r="Z12">
        <v>1496086</v>
      </c>
      <c r="AA12">
        <v>705729</v>
      </c>
      <c r="AB12">
        <v>229542</v>
      </c>
      <c r="AC12">
        <v>508627</v>
      </c>
      <c r="AD12">
        <v>1555957</v>
      </c>
      <c r="AE12">
        <v>524291</v>
      </c>
      <c r="AF12">
        <v>1054247</v>
      </c>
      <c r="AG12">
        <v>467851</v>
      </c>
      <c r="AH12">
        <v>266535</v>
      </c>
      <c r="AI12">
        <v>398092</v>
      </c>
      <c r="AJ12">
        <v>189777</v>
      </c>
      <c r="AK12">
        <v>642377</v>
      </c>
      <c r="AL12">
        <v>792961</v>
      </c>
      <c r="AM12">
        <v>705379</v>
      </c>
      <c r="AN12">
        <v>318655</v>
      </c>
      <c r="AO12">
        <v>1420834</v>
      </c>
      <c r="AP12">
        <v>524788</v>
      </c>
      <c r="AQ12">
        <v>422328</v>
      </c>
      <c r="AR12">
        <v>640734</v>
      </c>
      <c r="AS12">
        <v>511188</v>
      </c>
      <c r="AT12">
        <v>521125</v>
      </c>
      <c r="AU12">
        <v>1580937</v>
      </c>
      <c r="AV12">
        <v>350128</v>
      </c>
      <c r="AW12">
        <v>717451</v>
      </c>
      <c r="AX12">
        <v>1147710</v>
      </c>
      <c r="AY12">
        <v>985619</v>
      </c>
      <c r="AZ12">
        <v>1803831</v>
      </c>
      <c r="BA12">
        <v>963277</v>
      </c>
      <c r="BB12">
        <v>1307947</v>
      </c>
      <c r="BC12">
        <v>377614</v>
      </c>
      <c r="BD12">
        <v>1471185</v>
      </c>
      <c r="BE12">
        <v>1866299</v>
      </c>
      <c r="BF12">
        <v>539679</v>
      </c>
      <c r="BG12">
        <v>1589900</v>
      </c>
      <c r="BH12">
        <v>1138778</v>
      </c>
      <c r="BI12">
        <v>2635331</v>
      </c>
      <c r="BJ12">
        <v>1396374</v>
      </c>
      <c r="BK12">
        <v>1741301</v>
      </c>
      <c r="BL12">
        <v>747699</v>
      </c>
      <c r="BM12">
        <v>405959</v>
      </c>
      <c r="BN12">
        <v>277486</v>
      </c>
      <c r="BO12">
        <v>1285080</v>
      </c>
      <c r="BP12">
        <v>479877</v>
      </c>
      <c r="BQ12">
        <v>478144</v>
      </c>
      <c r="BR12">
        <v>448686</v>
      </c>
      <c r="BS12">
        <v>995277</v>
      </c>
      <c r="BT12">
        <v>865564</v>
      </c>
      <c r="BU12">
        <v>599775</v>
      </c>
      <c r="BV12">
        <v>638115</v>
      </c>
      <c r="BW12">
        <v>457645</v>
      </c>
      <c r="BX12">
        <v>729337</v>
      </c>
      <c r="BY12">
        <v>1065895</v>
      </c>
      <c r="BZ12">
        <v>542674</v>
      </c>
      <c r="CA12">
        <v>330121</v>
      </c>
    </row>
    <row r="13" spans="1:79" x14ac:dyDescent="0.25">
      <c r="A13">
        <v>2018</v>
      </c>
      <c r="B13">
        <v>66301242</v>
      </c>
      <c r="C13">
        <v>5679532</v>
      </c>
      <c r="D13">
        <v>1238015</v>
      </c>
      <c r="E13">
        <v>815647</v>
      </c>
      <c r="F13">
        <v>1137603</v>
      </c>
      <c r="G13">
        <v>643531</v>
      </c>
      <c r="H13">
        <v>281014</v>
      </c>
      <c r="I13">
        <v>328993</v>
      </c>
      <c r="J13">
        <v>758003</v>
      </c>
      <c r="K13">
        <v>209733</v>
      </c>
      <c r="L13">
        <v>712449</v>
      </c>
      <c r="M13">
        <v>259718</v>
      </c>
      <c r="N13">
        <v>489592</v>
      </c>
      <c r="O13">
        <v>563014</v>
      </c>
      <c r="P13">
        <v>1318687</v>
      </c>
      <c r="Q13">
        <v>890565</v>
      </c>
      <c r="R13">
        <v>914273</v>
      </c>
      <c r="S13">
        <v>872615</v>
      </c>
      <c r="T13">
        <v>850362</v>
      </c>
      <c r="U13">
        <v>483335</v>
      </c>
      <c r="V13">
        <v>546396</v>
      </c>
      <c r="W13">
        <v>573215</v>
      </c>
      <c r="X13">
        <v>193847</v>
      </c>
      <c r="Y13">
        <v>535478</v>
      </c>
      <c r="Z13">
        <v>1522285</v>
      </c>
      <c r="AA13">
        <v>717276</v>
      </c>
      <c r="AB13">
        <v>229782</v>
      </c>
      <c r="AC13">
        <v>510307</v>
      </c>
      <c r="AD13">
        <v>1558958</v>
      </c>
      <c r="AE13">
        <v>524951</v>
      </c>
      <c r="AF13">
        <v>1060541</v>
      </c>
      <c r="AG13">
        <v>471754</v>
      </c>
      <c r="AH13">
        <v>267866</v>
      </c>
      <c r="AI13">
        <v>406113</v>
      </c>
      <c r="AJ13">
        <v>191134</v>
      </c>
      <c r="AK13">
        <v>643093</v>
      </c>
      <c r="AL13">
        <v>799357</v>
      </c>
      <c r="AM13">
        <v>713937</v>
      </c>
      <c r="AN13">
        <v>320637</v>
      </c>
      <c r="AO13">
        <v>1428429</v>
      </c>
      <c r="AP13">
        <v>529811</v>
      </c>
      <c r="AQ13">
        <v>423485</v>
      </c>
      <c r="AR13">
        <v>642220</v>
      </c>
      <c r="AS13">
        <v>511878</v>
      </c>
      <c r="AT13">
        <v>521995</v>
      </c>
      <c r="AU13">
        <v>1584878</v>
      </c>
      <c r="AV13">
        <v>351532</v>
      </c>
      <c r="AW13">
        <v>718406</v>
      </c>
      <c r="AX13">
        <v>1150876</v>
      </c>
      <c r="AY13">
        <v>985676</v>
      </c>
      <c r="AZ13">
        <v>1805903</v>
      </c>
      <c r="BA13">
        <v>963060</v>
      </c>
      <c r="BB13">
        <v>1307560</v>
      </c>
      <c r="BC13">
        <v>378363</v>
      </c>
      <c r="BD13">
        <v>1472521</v>
      </c>
      <c r="BE13">
        <v>1872091</v>
      </c>
      <c r="BF13">
        <v>539136</v>
      </c>
      <c r="BG13">
        <v>1593378</v>
      </c>
      <c r="BH13">
        <v>1139067</v>
      </c>
      <c r="BI13">
        <v>2642815</v>
      </c>
      <c r="BJ13">
        <v>1397519</v>
      </c>
      <c r="BK13">
        <v>1755291</v>
      </c>
      <c r="BL13">
        <v>744714</v>
      </c>
      <c r="BM13">
        <v>405936</v>
      </c>
      <c r="BN13">
        <v>280826</v>
      </c>
      <c r="BO13">
        <v>1289873</v>
      </c>
      <c r="BP13">
        <v>479414</v>
      </c>
      <c r="BQ13">
        <v>476157</v>
      </c>
      <c r="BR13">
        <v>446326</v>
      </c>
      <c r="BS13">
        <v>994936</v>
      </c>
      <c r="BT13">
        <v>866129</v>
      </c>
      <c r="BU13">
        <v>598287</v>
      </c>
      <c r="BV13">
        <v>649472</v>
      </c>
      <c r="BW13">
        <v>456247</v>
      </c>
      <c r="BX13">
        <v>728470</v>
      </c>
      <c r="BY13">
        <v>1064649</v>
      </c>
      <c r="BZ13">
        <v>540620</v>
      </c>
      <c r="CA13">
        <v>329688</v>
      </c>
    </row>
    <row r="14" spans="1:79" x14ac:dyDescent="0.25">
      <c r="A14">
        <v>2019</v>
      </c>
      <c r="B14">
        <v>66486458</v>
      </c>
      <c r="C14">
        <v>5671457</v>
      </c>
      <c r="D14">
        <v>1255840</v>
      </c>
      <c r="E14">
        <v>818815</v>
      </c>
      <c r="F14">
        <v>1154848</v>
      </c>
      <c r="G14">
        <v>645468</v>
      </c>
      <c r="H14">
        <v>280246</v>
      </c>
      <c r="I14">
        <v>327437</v>
      </c>
      <c r="J14">
        <v>757145</v>
      </c>
      <c r="K14">
        <v>208912</v>
      </c>
      <c r="L14">
        <v>717561</v>
      </c>
      <c r="M14">
        <v>260421</v>
      </c>
      <c r="N14">
        <v>493159</v>
      </c>
      <c r="O14">
        <v>565198</v>
      </c>
      <c r="P14">
        <v>1335742</v>
      </c>
      <c r="Q14">
        <v>894338</v>
      </c>
      <c r="R14">
        <v>918542</v>
      </c>
      <c r="S14">
        <v>873310</v>
      </c>
      <c r="T14">
        <v>847526</v>
      </c>
      <c r="U14">
        <v>484743</v>
      </c>
      <c r="V14">
        <v>551466</v>
      </c>
      <c r="W14">
        <v>581334</v>
      </c>
      <c r="X14">
        <v>193548</v>
      </c>
      <c r="Y14">
        <v>537097</v>
      </c>
      <c r="Z14">
        <v>1546873</v>
      </c>
      <c r="AA14">
        <v>729035</v>
      </c>
      <c r="AB14">
        <v>229936</v>
      </c>
      <c r="AC14">
        <v>511134</v>
      </c>
      <c r="AD14">
        <v>1561179</v>
      </c>
      <c r="AE14">
        <v>524955</v>
      </c>
      <c r="AF14">
        <v>1065756</v>
      </c>
      <c r="AG14">
        <v>475239</v>
      </c>
      <c r="AH14">
        <v>268513</v>
      </c>
      <c r="AI14">
        <v>413397</v>
      </c>
      <c r="AJ14">
        <v>192619</v>
      </c>
      <c r="AK14">
        <v>643140</v>
      </c>
      <c r="AL14">
        <v>805248</v>
      </c>
      <c r="AM14">
        <v>721591</v>
      </c>
      <c r="AN14">
        <v>322580</v>
      </c>
      <c r="AO14">
        <v>1434298</v>
      </c>
      <c r="AP14">
        <v>534328</v>
      </c>
      <c r="AQ14">
        <v>424016</v>
      </c>
      <c r="AR14">
        <v>642862</v>
      </c>
      <c r="AS14">
        <v>512449</v>
      </c>
      <c r="AT14">
        <v>522207</v>
      </c>
      <c r="AU14">
        <v>1586656</v>
      </c>
      <c r="AV14">
        <v>352727</v>
      </c>
      <c r="AW14">
        <v>718961</v>
      </c>
      <c r="AX14">
        <v>1152835</v>
      </c>
      <c r="AY14">
        <v>984381</v>
      </c>
      <c r="AZ14">
        <v>1804384</v>
      </c>
      <c r="BA14">
        <v>962856</v>
      </c>
      <c r="BB14">
        <v>1306210</v>
      </c>
      <c r="BC14">
        <v>378530</v>
      </c>
      <c r="BD14">
        <v>1472934</v>
      </c>
      <c r="BE14">
        <v>1876347</v>
      </c>
      <c r="BF14">
        <v>538013</v>
      </c>
      <c r="BG14">
        <v>1595299</v>
      </c>
      <c r="BH14">
        <v>1138067</v>
      </c>
      <c r="BI14">
        <v>2647663</v>
      </c>
      <c r="BJ14">
        <v>1397343</v>
      </c>
      <c r="BK14">
        <v>1771499</v>
      </c>
      <c r="BL14">
        <v>740600</v>
      </c>
      <c r="BM14">
        <v>405515</v>
      </c>
      <c r="BN14">
        <v>283352</v>
      </c>
      <c r="BO14">
        <v>1295217</v>
      </c>
      <c r="BP14">
        <v>478608</v>
      </c>
      <c r="BQ14">
        <v>473786</v>
      </c>
      <c r="BR14">
        <v>443408</v>
      </c>
      <c r="BS14">
        <v>993496</v>
      </c>
      <c r="BT14">
        <v>866068</v>
      </c>
      <c r="BU14">
        <v>596165</v>
      </c>
      <c r="BV14">
        <v>660147</v>
      </c>
      <c r="BW14">
        <v>454252</v>
      </c>
      <c r="BX14">
        <v>726836</v>
      </c>
      <c r="BY14">
        <v>1061926</v>
      </c>
      <c r="BZ14">
        <v>537843</v>
      </c>
      <c r="CA14">
        <v>329026</v>
      </c>
    </row>
    <row r="15" spans="1:79" x14ac:dyDescent="0.25">
      <c r="A15">
        <v>2020</v>
      </c>
      <c r="B15">
        <v>66372831</v>
      </c>
      <c r="C15">
        <v>5627243</v>
      </c>
      <c r="D15">
        <v>1271065</v>
      </c>
      <c r="E15">
        <v>819638</v>
      </c>
      <c r="F15">
        <v>1170008</v>
      </c>
      <c r="G15">
        <v>644869</v>
      </c>
      <c r="H15">
        <v>278119</v>
      </c>
      <c r="I15">
        <v>324544</v>
      </c>
      <c r="J15">
        <v>749242</v>
      </c>
      <c r="K15">
        <v>207172</v>
      </c>
      <c r="L15">
        <v>720416</v>
      </c>
      <c r="M15">
        <v>260416</v>
      </c>
      <c r="N15">
        <v>494175</v>
      </c>
      <c r="O15">
        <v>563614</v>
      </c>
      <c r="P15">
        <v>1348177</v>
      </c>
      <c r="Q15">
        <v>893751</v>
      </c>
      <c r="R15">
        <v>920380</v>
      </c>
      <c r="S15">
        <v>871207</v>
      </c>
      <c r="T15">
        <v>842481</v>
      </c>
      <c r="U15">
        <v>483692</v>
      </c>
      <c r="V15">
        <v>552398</v>
      </c>
      <c r="W15">
        <v>585451</v>
      </c>
      <c r="X15">
        <v>192678</v>
      </c>
      <c r="Y15">
        <v>536629</v>
      </c>
      <c r="Z15">
        <v>1562593</v>
      </c>
      <c r="AA15">
        <v>738139</v>
      </c>
      <c r="AB15">
        <v>229247</v>
      </c>
      <c r="AC15">
        <v>510256</v>
      </c>
      <c r="AD15">
        <v>1556325</v>
      </c>
      <c r="AE15">
        <v>523971</v>
      </c>
      <c r="AF15">
        <v>1067867</v>
      </c>
      <c r="AG15">
        <v>477254</v>
      </c>
      <c r="AH15">
        <v>268509</v>
      </c>
      <c r="AI15">
        <v>415527</v>
      </c>
      <c r="AJ15">
        <v>193871</v>
      </c>
      <c r="AK15">
        <v>641868</v>
      </c>
      <c r="AL15">
        <v>806224</v>
      </c>
      <c r="AM15">
        <v>725559</v>
      </c>
      <c r="AN15">
        <v>323841</v>
      </c>
      <c r="AO15">
        <v>1432288</v>
      </c>
      <c r="AP15">
        <v>537466</v>
      </c>
      <c r="AQ15">
        <v>423067</v>
      </c>
      <c r="AR15">
        <v>640843</v>
      </c>
      <c r="AS15">
        <v>511125</v>
      </c>
      <c r="AT15">
        <v>519873</v>
      </c>
      <c r="AU15">
        <v>1577315</v>
      </c>
      <c r="AV15">
        <v>352043</v>
      </c>
      <c r="AW15">
        <v>718169</v>
      </c>
      <c r="AX15">
        <v>1150164</v>
      </c>
      <c r="AY15">
        <v>980297</v>
      </c>
      <c r="AZ15">
        <v>1798702</v>
      </c>
      <c r="BA15">
        <v>958163</v>
      </c>
      <c r="BB15">
        <v>1301926</v>
      </c>
      <c r="BC15">
        <v>377317</v>
      </c>
      <c r="BD15">
        <v>1465719</v>
      </c>
      <c r="BE15">
        <v>1872422</v>
      </c>
      <c r="BF15">
        <v>535900</v>
      </c>
      <c r="BG15">
        <v>1588466</v>
      </c>
      <c r="BH15">
        <v>1131140</v>
      </c>
      <c r="BI15">
        <v>2641067</v>
      </c>
      <c r="BJ15">
        <v>1387526</v>
      </c>
      <c r="BK15">
        <v>1781812</v>
      </c>
      <c r="BL15">
        <v>733640</v>
      </c>
      <c r="BM15">
        <v>403542</v>
      </c>
      <c r="BN15">
        <v>284343</v>
      </c>
      <c r="BO15">
        <v>1296664</v>
      </c>
      <c r="BP15">
        <v>477476</v>
      </c>
      <c r="BQ15">
        <v>469856</v>
      </c>
      <c r="BR15">
        <v>439537</v>
      </c>
      <c r="BS15">
        <v>987196</v>
      </c>
      <c r="BT15">
        <v>857364</v>
      </c>
      <c r="BU15">
        <v>591477</v>
      </c>
      <c r="BV15">
        <v>667942</v>
      </c>
      <c r="BW15">
        <v>450923</v>
      </c>
      <c r="BX15">
        <v>719993</v>
      </c>
      <c r="BY15">
        <v>1050098</v>
      </c>
      <c r="BZ15">
        <v>534311</v>
      </c>
      <c r="CA15">
        <v>327243</v>
      </c>
    </row>
    <row r="16" spans="1:79" x14ac:dyDescent="0.25">
      <c r="A16">
        <v>2021</v>
      </c>
      <c r="B16">
        <v>66179083</v>
      </c>
      <c r="C16">
        <v>5558108</v>
      </c>
      <c r="D16">
        <v>1282690</v>
      </c>
      <c r="E16">
        <v>819799</v>
      </c>
      <c r="F16">
        <v>1183235</v>
      </c>
      <c r="G16">
        <v>643895</v>
      </c>
      <c r="H16">
        <v>275673</v>
      </c>
      <c r="I16">
        <v>321454</v>
      </c>
      <c r="J16">
        <v>741200</v>
      </c>
      <c r="K16">
        <v>205211</v>
      </c>
      <c r="L16">
        <v>722448</v>
      </c>
      <c r="M16">
        <v>260256</v>
      </c>
      <c r="N16">
        <v>494498</v>
      </c>
      <c r="O16">
        <v>561459</v>
      </c>
      <c r="P16">
        <v>1353964</v>
      </c>
      <c r="Q16">
        <v>893014</v>
      </c>
      <c r="R16">
        <v>921450</v>
      </c>
      <c r="S16">
        <v>868797</v>
      </c>
      <c r="T16">
        <v>836993</v>
      </c>
      <c r="U16">
        <v>482534</v>
      </c>
      <c r="V16">
        <v>551924</v>
      </c>
      <c r="W16">
        <v>586494</v>
      </c>
      <c r="X16">
        <v>191447</v>
      </c>
      <c r="Y16">
        <v>536058</v>
      </c>
      <c r="Z16">
        <v>1575278</v>
      </c>
      <c r="AA16">
        <v>746433</v>
      </c>
      <c r="AB16">
        <v>228456</v>
      </c>
      <c r="AC16">
        <v>509344</v>
      </c>
      <c r="AD16">
        <v>1550033</v>
      </c>
      <c r="AE16">
        <v>522810</v>
      </c>
      <c r="AF16">
        <v>1070096</v>
      </c>
      <c r="AG16">
        <v>478561</v>
      </c>
      <c r="AH16">
        <v>268123</v>
      </c>
      <c r="AI16">
        <v>416629</v>
      </c>
      <c r="AJ16">
        <v>194473</v>
      </c>
      <c r="AK16">
        <v>640182</v>
      </c>
      <c r="AL16">
        <v>807045</v>
      </c>
      <c r="AM16">
        <v>727799</v>
      </c>
      <c r="AN16">
        <v>324467</v>
      </c>
      <c r="AO16">
        <v>1430073</v>
      </c>
      <c r="AP16">
        <v>540458</v>
      </c>
      <c r="AQ16">
        <v>422019</v>
      </c>
      <c r="AR16">
        <v>638734</v>
      </c>
      <c r="AS16">
        <v>509236</v>
      </c>
      <c r="AT16">
        <v>517140</v>
      </c>
      <c r="AU16">
        <v>1567247</v>
      </c>
      <c r="AV16">
        <v>351198</v>
      </c>
      <c r="AW16">
        <v>717121</v>
      </c>
      <c r="AX16">
        <v>1146612</v>
      </c>
      <c r="AY16">
        <v>976373</v>
      </c>
      <c r="AZ16">
        <v>1792697</v>
      </c>
      <c r="BA16">
        <v>950985</v>
      </c>
      <c r="BB16">
        <v>1297326</v>
      </c>
      <c r="BC16">
        <v>376273</v>
      </c>
      <c r="BD16">
        <v>1458068</v>
      </c>
      <c r="BE16">
        <v>1867608</v>
      </c>
      <c r="BF16">
        <v>533948</v>
      </c>
      <c r="BG16">
        <v>1580495</v>
      </c>
      <c r="BH16">
        <v>1123595</v>
      </c>
      <c r="BI16">
        <v>2633681</v>
      </c>
      <c r="BJ16">
        <v>1377226</v>
      </c>
      <c r="BK16">
        <v>1786877</v>
      </c>
      <c r="BL16">
        <v>726821</v>
      </c>
      <c r="BM16">
        <v>401574</v>
      </c>
      <c r="BN16">
        <v>285232</v>
      </c>
      <c r="BO16">
        <v>1296725</v>
      </c>
      <c r="BP16">
        <v>476300</v>
      </c>
      <c r="BQ16">
        <v>465930</v>
      </c>
      <c r="BR16">
        <v>435965</v>
      </c>
      <c r="BS16">
        <v>980156</v>
      </c>
      <c r="BT16">
        <v>848432</v>
      </c>
      <c r="BU16">
        <v>586617</v>
      </c>
      <c r="BV16">
        <v>673423</v>
      </c>
      <c r="BW16">
        <v>447446</v>
      </c>
      <c r="BX16">
        <v>713130</v>
      </c>
      <c r="BY16">
        <v>1037668</v>
      </c>
      <c r="BZ16">
        <v>530852</v>
      </c>
      <c r="CA16">
        <v>325492</v>
      </c>
    </row>
    <row r="17" spans="1:79" x14ac:dyDescent="0.25">
      <c r="A17">
        <v>2022</v>
      </c>
      <c r="B17">
        <v>66171439</v>
      </c>
      <c r="C17">
        <v>5527994</v>
      </c>
      <c r="D17">
        <v>1288637</v>
      </c>
      <c r="E17">
        <v>820512</v>
      </c>
      <c r="F17">
        <v>1190060</v>
      </c>
      <c r="G17">
        <v>643963</v>
      </c>
      <c r="H17">
        <v>274763</v>
      </c>
      <c r="I17">
        <v>320432</v>
      </c>
      <c r="J17">
        <v>739473</v>
      </c>
      <c r="K17">
        <v>204526</v>
      </c>
      <c r="L17">
        <v>724178</v>
      </c>
      <c r="M17">
        <v>260433</v>
      </c>
      <c r="N17">
        <v>495325</v>
      </c>
      <c r="O17">
        <v>561992</v>
      </c>
      <c r="P17">
        <v>1356449</v>
      </c>
      <c r="Q17">
        <v>894054</v>
      </c>
      <c r="R17">
        <v>922171</v>
      </c>
      <c r="S17">
        <v>868281</v>
      </c>
      <c r="T17">
        <v>835360</v>
      </c>
      <c r="U17">
        <v>482875</v>
      </c>
      <c r="V17">
        <v>553171</v>
      </c>
      <c r="W17">
        <v>586789</v>
      </c>
      <c r="X17">
        <v>190842</v>
      </c>
      <c r="Y17">
        <v>536557</v>
      </c>
      <c r="Z17">
        <v>1583672</v>
      </c>
      <c r="AA17">
        <v>751343</v>
      </c>
      <c r="AB17">
        <v>228376</v>
      </c>
      <c r="AC17">
        <v>509479</v>
      </c>
      <c r="AD17">
        <v>1549344</v>
      </c>
      <c r="AE17">
        <v>522541</v>
      </c>
      <c r="AF17">
        <v>1072464</v>
      </c>
      <c r="AG17">
        <v>479351</v>
      </c>
      <c r="AH17">
        <v>268016</v>
      </c>
      <c r="AI17">
        <v>418785</v>
      </c>
      <c r="AJ17">
        <v>194573</v>
      </c>
      <c r="AK17">
        <v>639788</v>
      </c>
      <c r="AL17">
        <v>809660</v>
      </c>
      <c r="AM17">
        <v>729581</v>
      </c>
      <c r="AN17">
        <v>324835</v>
      </c>
      <c r="AO17">
        <v>1431536</v>
      </c>
      <c r="AP17">
        <v>542314</v>
      </c>
      <c r="AQ17">
        <v>421995</v>
      </c>
      <c r="AR17">
        <v>638732</v>
      </c>
      <c r="AS17">
        <v>509001</v>
      </c>
      <c r="AT17">
        <v>516843</v>
      </c>
      <c r="AU17">
        <v>1566510</v>
      </c>
      <c r="AV17">
        <v>351484</v>
      </c>
      <c r="AW17">
        <v>717040</v>
      </c>
      <c r="AX17">
        <v>1146286</v>
      </c>
      <c r="AY17">
        <v>975570</v>
      </c>
      <c r="AZ17">
        <v>1790863</v>
      </c>
      <c r="BA17">
        <v>948310</v>
      </c>
      <c r="BB17">
        <v>1296013</v>
      </c>
      <c r="BC17">
        <v>376350</v>
      </c>
      <c r="BD17">
        <v>1457556</v>
      </c>
      <c r="BE17">
        <v>1868519</v>
      </c>
      <c r="BF17">
        <v>533394</v>
      </c>
      <c r="BG17">
        <v>1579805</v>
      </c>
      <c r="BH17">
        <v>1122265</v>
      </c>
      <c r="BI17">
        <v>2634154</v>
      </c>
      <c r="BJ17">
        <v>1376230</v>
      </c>
      <c r="BK17">
        <v>1789385</v>
      </c>
      <c r="BL17">
        <v>724678</v>
      </c>
      <c r="BM17">
        <v>401139</v>
      </c>
      <c r="BN17">
        <v>285916</v>
      </c>
      <c r="BO17">
        <v>1298425</v>
      </c>
      <c r="BP17">
        <v>475875</v>
      </c>
      <c r="BQ17">
        <v>464505</v>
      </c>
      <c r="BR17">
        <v>434580</v>
      </c>
      <c r="BS17">
        <v>978372</v>
      </c>
      <c r="BT17">
        <v>847384</v>
      </c>
      <c r="BU17">
        <v>585352</v>
      </c>
      <c r="BV17">
        <v>676583</v>
      </c>
      <c r="BW17">
        <v>446148</v>
      </c>
      <c r="BX17">
        <v>712143</v>
      </c>
      <c r="BY17">
        <v>1035028</v>
      </c>
      <c r="BZ17">
        <v>529395</v>
      </c>
      <c r="CA17">
        <v>325116</v>
      </c>
    </row>
    <row r="18" spans="1:79" x14ac:dyDescent="0.25">
      <c r="A18">
        <v>2023</v>
      </c>
      <c r="B18">
        <v>66130957</v>
      </c>
      <c r="C18">
        <v>5511463</v>
      </c>
      <c r="D18">
        <v>1292276</v>
      </c>
      <c r="E18">
        <v>820464</v>
      </c>
      <c r="F18">
        <v>1195796</v>
      </c>
      <c r="G18">
        <v>641272</v>
      </c>
      <c r="H18">
        <v>273675</v>
      </c>
      <c r="I18">
        <v>319370</v>
      </c>
      <c r="J18">
        <v>737382</v>
      </c>
      <c r="K18">
        <v>203661</v>
      </c>
      <c r="L18">
        <v>725433</v>
      </c>
      <c r="M18">
        <v>260419</v>
      </c>
      <c r="N18">
        <v>496551</v>
      </c>
      <c r="O18">
        <v>562404</v>
      </c>
      <c r="P18">
        <v>1358338</v>
      </c>
      <c r="Q18">
        <v>894168</v>
      </c>
      <c r="R18">
        <v>922026</v>
      </c>
      <c r="S18">
        <v>867043</v>
      </c>
      <c r="T18">
        <v>833027</v>
      </c>
      <c r="U18">
        <v>482912</v>
      </c>
      <c r="V18">
        <v>553234</v>
      </c>
      <c r="W18">
        <v>588108</v>
      </c>
      <c r="X18">
        <v>190147</v>
      </c>
      <c r="Y18">
        <v>536351</v>
      </c>
      <c r="Z18">
        <v>1589214</v>
      </c>
      <c r="AA18">
        <v>755364</v>
      </c>
      <c r="AB18">
        <v>228092</v>
      </c>
      <c r="AC18">
        <v>509433</v>
      </c>
      <c r="AD18">
        <v>1547246</v>
      </c>
      <c r="AE18">
        <v>522080</v>
      </c>
      <c r="AF18">
        <v>1073064</v>
      </c>
      <c r="AG18">
        <v>479705</v>
      </c>
      <c r="AH18">
        <v>267729</v>
      </c>
      <c r="AI18">
        <v>418339</v>
      </c>
      <c r="AJ18">
        <v>194400</v>
      </c>
      <c r="AK18">
        <v>638997</v>
      </c>
      <c r="AL18">
        <v>811891</v>
      </c>
      <c r="AM18">
        <v>731269</v>
      </c>
      <c r="AN18">
        <v>325069</v>
      </c>
      <c r="AO18">
        <v>1431300</v>
      </c>
      <c r="AP18">
        <v>544114</v>
      </c>
      <c r="AQ18">
        <v>421840</v>
      </c>
      <c r="AR18">
        <v>638037</v>
      </c>
      <c r="AS18">
        <v>508664</v>
      </c>
      <c r="AT18">
        <v>516320</v>
      </c>
      <c r="AU18">
        <v>1564780</v>
      </c>
      <c r="AV18">
        <v>351537</v>
      </c>
      <c r="AW18">
        <v>716844</v>
      </c>
      <c r="AX18">
        <v>1145737</v>
      </c>
      <c r="AY18">
        <v>973835</v>
      </c>
      <c r="AZ18">
        <v>1787752</v>
      </c>
      <c r="BA18">
        <v>946457</v>
      </c>
      <c r="BB18">
        <v>1293572</v>
      </c>
      <c r="BC18">
        <v>375866</v>
      </c>
      <c r="BD18">
        <v>1456144</v>
      </c>
      <c r="BE18">
        <v>1869163</v>
      </c>
      <c r="BF18">
        <v>532497</v>
      </c>
      <c r="BG18">
        <v>1578361</v>
      </c>
      <c r="BH18">
        <v>1120095</v>
      </c>
      <c r="BI18">
        <v>2632106</v>
      </c>
      <c r="BJ18">
        <v>1374571</v>
      </c>
      <c r="BK18">
        <v>1790929</v>
      </c>
      <c r="BL18">
        <v>721734</v>
      </c>
      <c r="BM18">
        <v>400348</v>
      </c>
      <c r="BN18">
        <v>286350</v>
      </c>
      <c r="BO18">
        <v>1299030</v>
      </c>
      <c r="BP18">
        <v>475207</v>
      </c>
      <c r="BQ18">
        <v>462968</v>
      </c>
      <c r="BR18">
        <v>432624</v>
      </c>
      <c r="BS18">
        <v>975879</v>
      </c>
      <c r="BT18">
        <v>845938</v>
      </c>
      <c r="BU18">
        <v>583502</v>
      </c>
      <c r="BV18">
        <v>680361</v>
      </c>
      <c r="BW18">
        <v>444548</v>
      </c>
      <c r="BX18">
        <v>710458</v>
      </c>
      <c r="BY18">
        <v>1031921</v>
      </c>
      <c r="BZ18">
        <v>527669</v>
      </c>
      <c r="CA18">
        <v>324487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17DC-DBF5-4168-94ED-472017971344}">
  <dimension ref="A1:X33"/>
  <sheetViews>
    <sheetView topLeftCell="A3" workbookViewId="0">
      <selection activeCell="J25" sqref="J25"/>
    </sheetView>
  </sheetViews>
  <sheetFormatPr defaultRowHeight="13.8" x14ac:dyDescent="0.25"/>
  <cols>
    <col min="1" max="1" width="9.109375" customWidth="1"/>
    <col min="2" max="2" width="12.6640625" customWidth="1"/>
    <col min="3" max="12" width="10.33203125" bestFit="1" customWidth="1"/>
    <col min="13" max="13" width="13.44140625" customWidth="1"/>
    <col min="14" max="14" width="13.77734375" customWidth="1"/>
    <col min="15" max="15" width="10.33203125" customWidth="1"/>
    <col min="16" max="16" width="13.88671875" customWidth="1"/>
    <col min="23" max="23" width="10.88671875" customWidth="1"/>
    <col min="24" max="24" width="11.33203125" customWidth="1"/>
  </cols>
  <sheetData>
    <row r="1" spans="1:24" ht="28.2" x14ac:dyDescent="0.5">
      <c r="A1" s="10" t="s">
        <v>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t="s">
        <v>18</v>
      </c>
      <c r="B2" t="s">
        <v>1</v>
      </c>
      <c r="C2" s="1" t="s">
        <v>14</v>
      </c>
      <c r="D2" s="1" t="s">
        <v>15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33</v>
      </c>
      <c r="P2" s="7" t="s">
        <v>22</v>
      </c>
      <c r="Q2" s="7" t="s">
        <v>23</v>
      </c>
      <c r="R2" s="7" t="s">
        <v>24</v>
      </c>
      <c r="S2" s="7" t="s">
        <v>25</v>
      </c>
      <c r="T2" s="7" t="s">
        <v>26</v>
      </c>
      <c r="U2" s="7" t="s">
        <v>27</v>
      </c>
      <c r="V2" s="7" t="s">
        <v>28</v>
      </c>
      <c r="W2" s="7" t="s">
        <v>29</v>
      </c>
      <c r="X2" s="7" t="s">
        <v>30</v>
      </c>
    </row>
    <row r="3" spans="1:24" x14ac:dyDescent="0.25">
      <c r="A3">
        <v>2022</v>
      </c>
      <c r="B3" s="7">
        <v>3301763</v>
      </c>
      <c r="C3" s="7">
        <v>3760624</v>
      </c>
      <c r="D3" s="7">
        <v>4064816</v>
      </c>
      <c r="E3" s="7">
        <v>4103496</v>
      </c>
      <c r="F3" s="7">
        <v>4555645</v>
      </c>
      <c r="G3" s="7">
        <v>5075859</v>
      </c>
      <c r="H3" s="7">
        <v>5061667</v>
      </c>
      <c r="I3" s="7">
        <v>5136065</v>
      </c>
      <c r="J3" s="7">
        <v>5175043</v>
      </c>
      <c r="K3" s="7">
        <v>5024974</v>
      </c>
      <c r="L3" s="7">
        <v>5366235</v>
      </c>
      <c r="M3" s="7">
        <v>5297548</v>
      </c>
      <c r="N3" s="7">
        <v>4866495</v>
      </c>
      <c r="O3" s="3">
        <f t="shared" ref="O3:O4" si="0">SUM(P3:W3)</f>
        <v>10906788</v>
      </c>
      <c r="P3" s="7">
        <v>3858239</v>
      </c>
      <c r="Q3" s="7">
        <v>2803334</v>
      </c>
      <c r="R3" s="7">
        <v>1768247</v>
      </c>
      <c r="S3" s="7">
        <v>1244337</v>
      </c>
      <c r="T3" s="7">
        <v>742052</v>
      </c>
      <c r="U3" s="7">
        <v>345720</v>
      </c>
      <c r="V3" s="7">
        <v>113825</v>
      </c>
      <c r="W3" s="7">
        <v>31034</v>
      </c>
      <c r="X3">
        <f>SUM(A3:W3)</f>
        <v>82605828</v>
      </c>
    </row>
    <row r="4" spans="1:24" x14ac:dyDescent="0.25">
      <c r="A4">
        <v>2023</v>
      </c>
      <c r="B4" s="7">
        <v>3233701</v>
      </c>
      <c r="C4" s="7">
        <v>3656637</v>
      </c>
      <c r="D4" s="7">
        <v>4041586</v>
      </c>
      <c r="E4" s="7">
        <v>4086198</v>
      </c>
      <c r="F4" s="7">
        <v>4405616</v>
      </c>
      <c r="G4" s="7">
        <v>5063692</v>
      </c>
      <c r="H4" s="7">
        <v>5048311</v>
      </c>
      <c r="I4" s="7">
        <v>5066938</v>
      </c>
      <c r="J4" s="7">
        <v>5213020</v>
      </c>
      <c r="K4" s="7">
        <v>4991459</v>
      </c>
      <c r="L4" s="7">
        <v>5288840</v>
      </c>
      <c r="M4" s="7">
        <v>5300153</v>
      </c>
      <c r="N4" s="7">
        <v>4947034</v>
      </c>
      <c r="O4" s="3">
        <f t="shared" si="0"/>
        <v>11458085</v>
      </c>
      <c r="P4" s="7">
        <v>4036402</v>
      </c>
      <c r="Q4" s="7">
        <v>2941114</v>
      </c>
      <c r="R4" s="7">
        <v>1896460</v>
      </c>
      <c r="S4" s="7">
        <v>1272028</v>
      </c>
      <c r="T4" s="7">
        <v>777035</v>
      </c>
      <c r="U4" s="7">
        <v>372838</v>
      </c>
      <c r="V4" s="7">
        <v>128154</v>
      </c>
      <c r="W4" s="7">
        <v>34054</v>
      </c>
      <c r="X4">
        <f>SUM(A4:W4)</f>
        <v>83261378</v>
      </c>
    </row>
    <row r="5" spans="1:24" x14ac:dyDescent="0.25">
      <c r="B5" s="1"/>
      <c r="O5" s="2"/>
    </row>
    <row r="6" spans="1:24" x14ac:dyDescent="0.25">
      <c r="B6" s="1"/>
      <c r="O6" s="2"/>
    </row>
    <row r="7" spans="1:24" x14ac:dyDescent="0.25">
      <c r="B7" s="1"/>
      <c r="O7" s="2"/>
    </row>
    <row r="8" spans="1:24" ht="28.2" x14ac:dyDescent="0.5">
      <c r="A8" s="10" t="s">
        <v>32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x14ac:dyDescent="0.25">
      <c r="A9" t="s">
        <v>18</v>
      </c>
      <c r="B9" t="s">
        <v>1</v>
      </c>
      <c r="C9" s="1" t="s">
        <v>14</v>
      </c>
      <c r="D9" s="1" t="s">
        <v>15</v>
      </c>
      <c r="E9" t="s">
        <v>2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33</v>
      </c>
      <c r="P9" s="7" t="s">
        <v>22</v>
      </c>
      <c r="Q9" s="7" t="s">
        <v>23</v>
      </c>
      <c r="R9" s="7" t="s">
        <v>24</v>
      </c>
      <c r="S9" s="7" t="s">
        <v>25</v>
      </c>
      <c r="T9" s="7" t="s">
        <v>26</v>
      </c>
      <c r="U9" s="7" t="s">
        <v>27</v>
      </c>
      <c r="V9" s="7" t="s">
        <v>28</v>
      </c>
      <c r="W9" s="7" t="s">
        <v>29</v>
      </c>
      <c r="X9" s="7" t="s">
        <v>30</v>
      </c>
    </row>
    <row r="10" spans="1:24" x14ac:dyDescent="0.25">
      <c r="A10">
        <v>2022</v>
      </c>
      <c r="B10" s="2">
        <f>B3/$X$3</f>
        <v>3.99700975093428E-2</v>
      </c>
      <c r="C10" s="2">
        <f t="shared" ref="C10:X10" si="1">C3/$X$3</f>
        <v>4.5524923495712674E-2</v>
      </c>
      <c r="D10" s="2">
        <f t="shared" si="1"/>
        <v>4.92073755377163E-2</v>
      </c>
      <c r="E10" s="2">
        <f t="shared" si="1"/>
        <v>4.9675623371271092E-2</v>
      </c>
      <c r="F10" s="2">
        <f t="shared" si="1"/>
        <v>5.514919601072215E-2</v>
      </c>
      <c r="G10" s="2">
        <f t="shared" si="1"/>
        <v>6.1446741990165636E-2</v>
      </c>
      <c r="H10" s="2">
        <f t="shared" si="1"/>
        <v>6.1274938131483894E-2</v>
      </c>
      <c r="I10" s="2">
        <f t="shared" si="1"/>
        <v>6.2175576764390041E-2</v>
      </c>
      <c r="J10" s="2">
        <f t="shared" si="1"/>
        <v>6.2647432091595276E-2</v>
      </c>
      <c r="K10" s="2">
        <f t="shared" si="1"/>
        <v>6.0830744290826549E-2</v>
      </c>
      <c r="L10" s="2">
        <f t="shared" si="1"/>
        <v>6.4961941910442439E-2</v>
      </c>
      <c r="M10" s="2">
        <f t="shared" si="1"/>
        <v>6.4130438835380957E-2</v>
      </c>
      <c r="N10" s="2">
        <f t="shared" si="1"/>
        <v>5.8912247692741483E-2</v>
      </c>
      <c r="O10" s="2">
        <f t="shared" si="1"/>
        <v>0.13203412233819628</v>
      </c>
      <c r="P10" s="2">
        <f t="shared" si="1"/>
        <v>4.670661977990221E-2</v>
      </c>
      <c r="Q10" s="2">
        <f t="shared" si="1"/>
        <v>3.3936273842567137E-2</v>
      </c>
      <c r="R10" s="2">
        <f t="shared" si="1"/>
        <v>2.1405838338670245E-2</v>
      </c>
      <c r="S10" s="2">
        <f t="shared" si="1"/>
        <v>1.5063549753414493E-2</v>
      </c>
      <c r="T10" s="2">
        <f t="shared" si="1"/>
        <v>8.9830465714840369E-3</v>
      </c>
      <c r="U10" s="2">
        <f t="shared" si="1"/>
        <v>4.1851768618553159E-3</v>
      </c>
      <c r="V10" s="2">
        <f t="shared" si="1"/>
        <v>1.3779294119538395E-3</v>
      </c>
      <c r="W10" s="2">
        <f t="shared" si="1"/>
        <v>3.7568777834900464E-4</v>
      </c>
      <c r="X10" s="2">
        <f t="shared" si="1"/>
        <v>1</v>
      </c>
    </row>
    <row r="11" spans="1:24" x14ac:dyDescent="0.25">
      <c r="A11">
        <v>2023</v>
      </c>
      <c r="B11" s="2">
        <f>B4/$X$4</f>
        <v>3.8837947169214522E-2</v>
      </c>
      <c r="C11" s="2">
        <f t="shared" ref="C11:X11" si="2">C4/$X$4</f>
        <v>4.3917565236549411E-2</v>
      </c>
      <c r="D11" s="2">
        <f t="shared" si="2"/>
        <v>4.8540945358843325E-2</v>
      </c>
      <c r="E11" s="2">
        <f t="shared" si="2"/>
        <v>4.9076752008596354E-2</v>
      </c>
      <c r="F11" s="2">
        <f t="shared" si="2"/>
        <v>5.2913080540175544E-2</v>
      </c>
      <c r="G11" s="2">
        <f t="shared" si="2"/>
        <v>6.0816817132188228E-2</v>
      </c>
      <c r="H11" s="2">
        <f t="shared" si="2"/>
        <v>6.0632085623180537E-2</v>
      </c>
      <c r="I11" s="2">
        <f t="shared" si="2"/>
        <v>6.0855802794904497E-2</v>
      </c>
      <c r="J11" s="2">
        <f t="shared" si="2"/>
        <v>6.2610301741582997E-2</v>
      </c>
      <c r="K11" s="2">
        <f t="shared" si="2"/>
        <v>5.9949272038231222E-2</v>
      </c>
      <c r="L11" s="2">
        <f t="shared" si="2"/>
        <v>6.3520928034604476E-2</v>
      </c>
      <c r="M11" s="2">
        <f t="shared" si="2"/>
        <v>6.3656801356326342E-2</v>
      </c>
      <c r="N11" s="2">
        <f t="shared" si="2"/>
        <v>5.9415711327765915E-2</v>
      </c>
      <c r="O11" s="2">
        <f t="shared" si="2"/>
        <v>0.13761584632913473</v>
      </c>
      <c r="P11" s="2">
        <f t="shared" si="2"/>
        <v>4.8478683598054309E-2</v>
      </c>
      <c r="Q11" s="2">
        <f t="shared" si="2"/>
        <v>3.5323868889126482E-2</v>
      </c>
      <c r="R11" s="2">
        <f t="shared" si="2"/>
        <v>2.2777187281238606E-2</v>
      </c>
      <c r="S11" s="2">
        <f t="shared" si="2"/>
        <v>1.5277527595087364E-2</v>
      </c>
      <c r="T11" s="2">
        <f t="shared" si="2"/>
        <v>9.3324782590074352E-3</v>
      </c>
      <c r="U11" s="2">
        <f t="shared" si="2"/>
        <v>4.4779225248950359E-3</v>
      </c>
      <c r="V11" s="2">
        <f t="shared" si="2"/>
        <v>1.5391770239498077E-3</v>
      </c>
      <c r="W11" s="2">
        <f t="shared" si="2"/>
        <v>4.0900115777569765E-4</v>
      </c>
      <c r="X11" s="2">
        <f t="shared" si="2"/>
        <v>1</v>
      </c>
    </row>
    <row r="12" spans="1:24" x14ac:dyDescent="0.25">
      <c r="B12" s="1"/>
    </row>
    <row r="13" spans="1:24" x14ac:dyDescent="0.25">
      <c r="B13" s="1"/>
    </row>
    <row r="14" spans="1:24" x14ac:dyDescent="0.25">
      <c r="B14" s="1"/>
    </row>
    <row r="15" spans="1:24" ht="28.2" x14ac:dyDescent="0.5">
      <c r="A15" s="10" t="s">
        <v>34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x14ac:dyDescent="0.25">
      <c r="A16" t="s">
        <v>18</v>
      </c>
      <c r="B16" t="s">
        <v>1</v>
      </c>
      <c r="C16" s="1" t="s">
        <v>14</v>
      </c>
      <c r="D16" s="1" t="s">
        <v>15</v>
      </c>
      <c r="E16" t="s">
        <v>2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33</v>
      </c>
      <c r="P16" s="7" t="s">
        <v>35</v>
      </c>
      <c r="Q16" s="7"/>
      <c r="R16" s="7"/>
      <c r="S16" s="7"/>
      <c r="T16" s="7"/>
      <c r="U16" s="7"/>
      <c r="V16" s="7"/>
      <c r="W16" s="7"/>
      <c r="X16" s="7"/>
    </row>
    <row r="17" spans="1:24" x14ac:dyDescent="0.25">
      <c r="A17">
        <v>2022</v>
      </c>
      <c r="B17" s="3">
        <f>B10*$P$17</f>
        <v>2644878.869163529</v>
      </c>
      <c r="C17" s="3">
        <f t="shared" ref="C17:O17" si="3">C10*$P$17</f>
        <v>3012449.6980762179</v>
      </c>
      <c r="D17" s="3">
        <f t="shared" si="3"/>
        <v>3256122.8487440865</v>
      </c>
      <c r="E17" s="3">
        <f t="shared" si="3"/>
        <v>3287107.4816990392</v>
      </c>
      <c r="F17" s="3">
        <f t="shared" si="3"/>
        <v>3649301.6597225443</v>
      </c>
      <c r="G17" s="3">
        <f t="shared" si="3"/>
        <v>4066019.339350984</v>
      </c>
      <c r="H17" s="3">
        <f t="shared" si="3"/>
        <v>4054650.8307962604</v>
      </c>
      <c r="I17" s="3">
        <f t="shared" si="3"/>
        <v>4114247.3851546529</v>
      </c>
      <c r="J17" s="3">
        <f t="shared" si="3"/>
        <v>4145470.731155639</v>
      </c>
      <c r="K17" s="3">
        <f t="shared" si="3"/>
        <v>4025257.8851650273</v>
      </c>
      <c r="L17" s="3">
        <f t="shared" si="3"/>
        <v>4298625.1764483852</v>
      </c>
      <c r="M17" s="3">
        <f t="shared" si="3"/>
        <v>4243603.4214386418</v>
      </c>
      <c r="N17" s="3">
        <f t="shared" si="3"/>
        <v>3898308.2045531338</v>
      </c>
      <c r="O17" s="3">
        <f t="shared" si="3"/>
        <v>8736887.872220492</v>
      </c>
      <c r="P17" s="3">
        <v>66171439</v>
      </c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>
        <v>2023</v>
      </c>
      <c r="B18" s="3">
        <f>B11*$P$18</f>
        <v>2568390.6142155975</v>
      </c>
      <c r="C18" s="3">
        <f t="shared" ref="C18:O18" si="4">C11*$P$18</f>
        <v>2904310.6182029438</v>
      </c>
      <c r="D18" s="3">
        <f t="shared" si="4"/>
        <v>3210059.1702650175</v>
      </c>
      <c r="E18" s="3">
        <f t="shared" si="4"/>
        <v>3245492.5767801492</v>
      </c>
      <c r="F18" s="3">
        <f t="shared" si="4"/>
        <v>3499192.6539398856</v>
      </c>
      <c r="G18" s="3">
        <f t="shared" si="4"/>
        <v>4021874.318645603</v>
      </c>
      <c r="H18" s="3">
        <f t="shared" si="4"/>
        <v>4009657.8471668703</v>
      </c>
      <c r="I18" s="3">
        <f t="shared" si="4"/>
        <v>4024452.477830309</v>
      </c>
      <c r="J18" s="3">
        <f t="shared" si="4"/>
        <v>4140479.1722296504</v>
      </c>
      <c r="K18" s="3">
        <f t="shared" si="4"/>
        <v>3964502.7313415711</v>
      </c>
      <c r="L18" s="3">
        <f t="shared" si="4"/>
        <v>4200699.7604565229</v>
      </c>
      <c r="M18" s="3">
        <f t="shared" si="4"/>
        <v>4209685.1932527591</v>
      </c>
      <c r="N18" s="3">
        <f t="shared" si="4"/>
        <v>3929217.8509409004</v>
      </c>
      <c r="O18" s="3">
        <f t="shared" si="4"/>
        <v>9100667.6161106173</v>
      </c>
      <c r="P18" s="3">
        <v>66130957</v>
      </c>
      <c r="Q18" s="2"/>
      <c r="R18" s="2"/>
      <c r="S18" s="2"/>
      <c r="T18" s="2"/>
      <c r="U18" s="2"/>
      <c r="V18" s="2"/>
      <c r="W18" s="2"/>
      <c r="X18" s="2"/>
    </row>
    <row r="19" spans="1:24" x14ac:dyDescent="0.25">
      <c r="B19" s="1"/>
    </row>
    <row r="20" spans="1:24" x14ac:dyDescent="0.25">
      <c r="B20" s="1"/>
    </row>
    <row r="21" spans="1:24" x14ac:dyDescent="0.25">
      <c r="B21" s="1"/>
    </row>
    <row r="22" spans="1:24" x14ac:dyDescent="0.25">
      <c r="B22" s="1"/>
    </row>
    <row r="23" spans="1:24" x14ac:dyDescent="0.25">
      <c r="B23" s="1"/>
    </row>
    <row r="24" spans="1:24" x14ac:dyDescent="0.25">
      <c r="B24" s="1"/>
    </row>
    <row r="25" spans="1:24" x14ac:dyDescent="0.25">
      <c r="B25" s="1"/>
    </row>
    <row r="26" spans="1:24" x14ac:dyDescent="0.25">
      <c r="B26" s="1"/>
    </row>
    <row r="27" spans="1:24" x14ac:dyDescent="0.25">
      <c r="B27" s="1"/>
    </row>
    <row r="28" spans="1:24" x14ac:dyDescent="0.25">
      <c r="B28" s="1"/>
    </row>
    <row r="29" spans="1:24" x14ac:dyDescent="0.25">
      <c r="B29" s="1"/>
    </row>
    <row r="30" spans="1:24" x14ac:dyDescent="0.25">
      <c r="B30" s="1"/>
    </row>
    <row r="31" spans="1:24" x14ac:dyDescent="0.25">
      <c r="B31" s="1"/>
    </row>
    <row r="32" spans="1:24" x14ac:dyDescent="0.25">
      <c r="B32" s="1"/>
    </row>
    <row r="33" spans="2:2" x14ac:dyDescent="0.25">
      <c r="B33" s="1"/>
    </row>
  </sheetData>
  <mergeCells count="3">
    <mergeCell ref="A1:X1"/>
    <mergeCell ref="A8:X8"/>
    <mergeCell ref="A15:X15"/>
  </mergeCells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Introduction</vt:lpstr>
      <vt:lpstr>age</vt:lpstr>
      <vt:lpstr>province</vt:lpstr>
      <vt:lpstr>age_un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kg L</cp:lastModifiedBy>
  <dcterms:created xsi:type="dcterms:W3CDTF">2015-06-05T18:19:34Z</dcterms:created>
  <dcterms:modified xsi:type="dcterms:W3CDTF">2024-09-20T03:50:25Z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2024-09-19T08:59:44Z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e5e29966-e1ea-4ab7-8e21-42a83b9ba091</vt:lpwstr>
  </property>
  <property fmtid="{D5CDD505-2E9C-101B-9397-08002B2CF9AE}" pid="8" name="MSIP_Label_defa4170-0d19-0005-0004-bc88714345d2_ContentBits">
    <vt:lpwstr>0</vt:lpwstr>
  </property>
</Properties>
</file>