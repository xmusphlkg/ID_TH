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4/13 NIDS TH/ID_TH/Data/"/>
    </mc:Choice>
  </mc:AlternateContent>
  <xr:revisionPtr revIDLastSave="52" documentId="13_ncr:1_{26109F15-B227-4CCA-8BAA-19A682FAC46B}" xr6:coauthVersionLast="47" xr6:coauthVersionMax="47" xr10:uidLastSave="{8F3BC747-2B6C-40AE-83A6-3002E22A4E5C}"/>
  <bookViews>
    <workbookView xWindow="140" yWindow="2260" windowWidth="28800" windowHeight="15540" xr2:uid="{B190ED11-74D7-470E-BB65-EAFF3E9E97F6}"/>
  </bookViews>
  <sheets>
    <sheet name="TotalCasesDeaths" sheetId="1" r:id="rId1"/>
    <sheet name="DiseaseName" sheetId="2" r:id="rId2"/>
    <sheet name="DiseaseLocation" sheetId="4" r:id="rId3"/>
    <sheet name="Save" sheetId="5" r:id="rId4"/>
  </sheets>
  <definedNames>
    <definedName name="_xlnm._FilterDatabase" localSheetId="0" hidden="1">TotalCasesDeaths!$A$1:$L$73</definedName>
    <definedName name="ExternalData_1" localSheetId="2" hidden="1">DiseaseLocation!$A$1:$D$79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39" i="1"/>
  <c r="D26" i="1"/>
  <c r="D8" i="1"/>
  <c r="D9" i="1"/>
  <c r="D41" i="1"/>
  <c r="D11" i="1"/>
  <c r="D12" i="1"/>
  <c r="D13" i="1"/>
  <c r="D59" i="1"/>
  <c r="D15" i="1"/>
  <c r="D6" i="1"/>
  <c r="D7" i="1"/>
  <c r="D18" i="1"/>
  <c r="D19" i="1"/>
  <c r="D20" i="1"/>
  <c r="D21" i="1"/>
  <c r="D22" i="1"/>
  <c r="D23" i="1"/>
  <c r="D45" i="1"/>
  <c r="D25" i="1"/>
  <c r="D46" i="1"/>
  <c r="D27" i="1"/>
  <c r="D10" i="1"/>
  <c r="D48" i="1"/>
  <c r="D52" i="1"/>
  <c r="D31" i="1"/>
  <c r="D32" i="1"/>
  <c r="D14" i="1"/>
  <c r="D28" i="1"/>
  <c r="D35" i="1"/>
  <c r="D36" i="1"/>
  <c r="D37" i="1"/>
  <c r="D38" i="1"/>
  <c r="D60" i="1"/>
  <c r="D40" i="1"/>
  <c r="D61" i="1"/>
  <c r="D42" i="1"/>
  <c r="D43" i="1"/>
  <c r="D44" i="1"/>
  <c r="D63" i="1"/>
  <c r="D24" i="1"/>
  <c r="D47" i="1"/>
  <c r="D29" i="1"/>
  <c r="D49" i="1"/>
  <c r="D50" i="1"/>
  <c r="D51" i="1"/>
  <c r="D16" i="1"/>
  <c r="D53" i="1"/>
  <c r="D54" i="1"/>
  <c r="D30" i="1"/>
  <c r="D56" i="1"/>
  <c r="D57" i="1"/>
  <c r="D58" i="1"/>
  <c r="D33" i="1"/>
  <c r="D34" i="1"/>
  <c r="D64" i="1"/>
  <c r="D62" i="1"/>
  <c r="D71" i="1"/>
  <c r="D55" i="1"/>
  <c r="D65" i="1"/>
  <c r="D66" i="1"/>
  <c r="D67" i="1"/>
  <c r="D68" i="1"/>
  <c r="D69" i="1"/>
  <c r="D70" i="1"/>
  <c r="D17" i="1"/>
  <c r="D72" i="1"/>
  <c r="D73" i="1"/>
  <c r="D2" i="1"/>
  <c r="C3" i="1"/>
  <c r="C4" i="1"/>
  <c r="C5" i="1"/>
  <c r="C39" i="1"/>
  <c r="C26" i="1"/>
  <c r="C8" i="1"/>
  <c r="C9" i="1"/>
  <c r="C41" i="1"/>
  <c r="C11" i="1"/>
  <c r="C12" i="1"/>
  <c r="C13" i="1"/>
  <c r="C59" i="1"/>
  <c r="C15" i="1"/>
  <c r="C6" i="1"/>
  <c r="C7" i="1"/>
  <c r="C18" i="1"/>
  <c r="C19" i="1"/>
  <c r="C20" i="1"/>
  <c r="C21" i="1"/>
  <c r="C22" i="1"/>
  <c r="C23" i="1"/>
  <c r="C45" i="1"/>
  <c r="C25" i="1"/>
  <c r="C46" i="1"/>
  <c r="C27" i="1"/>
  <c r="C10" i="1"/>
  <c r="C48" i="1"/>
  <c r="C52" i="1"/>
  <c r="C31" i="1"/>
  <c r="C32" i="1"/>
  <c r="C14" i="1"/>
  <c r="C28" i="1"/>
  <c r="C35" i="1"/>
  <c r="C36" i="1"/>
  <c r="C37" i="1"/>
  <c r="C38" i="1"/>
  <c r="C60" i="1"/>
  <c r="C40" i="1"/>
  <c r="C61" i="1"/>
  <c r="C42" i="1"/>
  <c r="C43" i="1"/>
  <c r="C44" i="1"/>
  <c r="C63" i="1"/>
  <c r="C24" i="1"/>
  <c r="C47" i="1"/>
  <c r="C29" i="1"/>
  <c r="C49" i="1"/>
  <c r="C50" i="1"/>
  <c r="C51" i="1"/>
  <c r="C16" i="1"/>
  <c r="C53" i="1"/>
  <c r="C54" i="1"/>
  <c r="C30" i="1"/>
  <c r="C56" i="1"/>
  <c r="C57" i="1"/>
  <c r="C58" i="1"/>
  <c r="C33" i="1"/>
  <c r="C34" i="1"/>
  <c r="C64" i="1"/>
  <c r="C62" i="1"/>
  <c r="C71" i="1"/>
  <c r="C55" i="1"/>
  <c r="C65" i="1"/>
  <c r="C66" i="1"/>
  <c r="C67" i="1"/>
  <c r="C68" i="1"/>
  <c r="C69" i="1"/>
  <c r="C70" i="1"/>
  <c r="C17" i="1"/>
  <c r="C72" i="1"/>
  <c r="C73" i="1"/>
  <c r="C2" i="1"/>
  <c r="B3" i="1"/>
  <c r="B4" i="1"/>
  <c r="B5" i="1"/>
  <c r="B39" i="1"/>
  <c r="B26" i="1"/>
  <c r="B8" i="1"/>
  <c r="B9" i="1"/>
  <c r="B41" i="1"/>
  <c r="B11" i="1"/>
  <c r="B12" i="1"/>
  <c r="B13" i="1"/>
  <c r="B59" i="1"/>
  <c r="B15" i="1"/>
  <c r="B6" i="1"/>
  <c r="B7" i="1"/>
  <c r="B18" i="1"/>
  <c r="B19" i="1"/>
  <c r="B20" i="1"/>
  <c r="B21" i="1"/>
  <c r="B22" i="1"/>
  <c r="B23" i="1"/>
  <c r="B45" i="1"/>
  <c r="B25" i="1"/>
  <c r="B46" i="1"/>
  <c r="B27" i="1"/>
  <c r="B10" i="1"/>
  <c r="B48" i="1"/>
  <c r="B52" i="1"/>
  <c r="B31" i="1"/>
  <c r="B32" i="1"/>
  <c r="B14" i="1"/>
  <c r="B28" i="1"/>
  <c r="B35" i="1"/>
  <c r="B36" i="1"/>
  <c r="B37" i="1"/>
  <c r="B38" i="1"/>
  <c r="B60" i="1"/>
  <c r="B40" i="1"/>
  <c r="B61" i="1"/>
  <c r="B42" i="1"/>
  <c r="B43" i="1"/>
  <c r="B44" i="1"/>
  <c r="B63" i="1"/>
  <c r="B24" i="1"/>
  <c r="B47" i="1"/>
  <c r="B29" i="1"/>
  <c r="B49" i="1"/>
  <c r="B50" i="1"/>
  <c r="B51" i="1"/>
  <c r="B16" i="1"/>
  <c r="B53" i="1"/>
  <c r="B54" i="1"/>
  <c r="B30" i="1"/>
  <c r="B56" i="1"/>
  <c r="B57" i="1"/>
  <c r="B58" i="1"/>
  <c r="B33" i="1"/>
  <c r="B34" i="1"/>
  <c r="B64" i="1"/>
  <c r="B62" i="1"/>
  <c r="B71" i="1"/>
  <c r="B55" i="1"/>
  <c r="B65" i="1"/>
  <c r="B66" i="1"/>
  <c r="B67" i="1"/>
  <c r="B68" i="1"/>
  <c r="B69" i="1"/>
  <c r="B70" i="1"/>
  <c r="B17" i="1"/>
  <c r="B72" i="1"/>
  <c r="B73" i="1"/>
  <c r="B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BB00B1-C4AE-4E32-A2F8-605D49AE846E}" keepAlive="1" name="查询 - location_mapping" description="与工作簿中“location_mapping”查询的连接。" type="5" refreshedVersion="8" background="1" saveData="1">
    <dbPr connection="Provider=Microsoft.Mashup.OleDb.1;Data Source=$Workbook$;Location=location_mapping;Extended Properties=&quot;&quot;" command="SELECT * FROM [location_mapping]"/>
  </connection>
</connections>
</file>

<file path=xl/sharedStrings.xml><?xml version="1.0" encoding="utf-8"?>
<sst xmlns="http://schemas.openxmlformats.org/spreadsheetml/2006/main" count="815" uniqueCount="403">
  <si>
    <t>Disease</t>
  </si>
  <si>
    <t>Cases</t>
  </si>
  <si>
    <t>Count</t>
  </si>
  <si>
    <t>YearStart</t>
  </si>
  <si>
    <t>YearEnd</t>
  </si>
  <si>
    <t>Anthrax</t>
  </si>
  <si>
    <t>Avian Influenza</t>
  </si>
  <si>
    <t>Botulism</t>
  </si>
  <si>
    <t>Brucellosis</t>
  </si>
  <si>
    <t>Chancroid</t>
  </si>
  <si>
    <t>Chickenpox</t>
  </si>
  <si>
    <t>Chikungunya</t>
  </si>
  <si>
    <t>Cholera</t>
  </si>
  <si>
    <t>Condyloma Acuminata</t>
  </si>
  <si>
    <t>D.H.F</t>
  </si>
  <si>
    <t>D.H.F.shock syndrome</t>
  </si>
  <si>
    <t>DHF Total</t>
  </si>
  <si>
    <t>Dengue fever</t>
  </si>
  <si>
    <t>Diphtheria</t>
  </si>
  <si>
    <t>Dysentery,Amoebic</t>
  </si>
  <si>
    <t>Dysentery,Bacillary</t>
  </si>
  <si>
    <t>Enterovirus Fever</t>
  </si>
  <si>
    <t>Filariasis</t>
  </si>
  <si>
    <t>Food_Poisoning</t>
  </si>
  <si>
    <t>Genital Herpes Simplex</t>
  </si>
  <si>
    <t>Genital Molluscum Contagiosum</t>
  </si>
  <si>
    <t>Gonorrhoea</t>
  </si>
  <si>
    <t>HFM</t>
  </si>
  <si>
    <t>HepatitisA</t>
  </si>
  <si>
    <t>HepatitisB</t>
  </si>
  <si>
    <t>HepatitisC</t>
  </si>
  <si>
    <t>HepatitisD</t>
  </si>
  <si>
    <t>HepatitisE</t>
  </si>
  <si>
    <t>Hepatitis_uns</t>
  </si>
  <si>
    <t>Influenza</t>
  </si>
  <si>
    <t>Japanese B encephalitis</t>
  </si>
  <si>
    <t>Kala azar</t>
  </si>
  <si>
    <t>L.G.V.&amp;other&amp;unsp.V.D</t>
  </si>
  <si>
    <t>Leprosy</t>
  </si>
  <si>
    <t>Leptospirosis</t>
  </si>
  <si>
    <t>Liver fluke</t>
  </si>
  <si>
    <t>Malaria</t>
  </si>
  <si>
    <t>Measles</t>
  </si>
  <si>
    <t>Measles Total</t>
  </si>
  <si>
    <t>Measles c Complication</t>
  </si>
  <si>
    <t>Melioidosis</t>
  </si>
  <si>
    <t>Meningococcal Meningitis</t>
  </si>
  <si>
    <t>Mumps</t>
  </si>
  <si>
    <t>Mushroom poisoning</t>
  </si>
  <si>
    <t>N.S.U._V</t>
  </si>
  <si>
    <t>Other STI</t>
  </si>
  <si>
    <t>Paratyphoid</t>
  </si>
  <si>
    <t>Pediculosis Pubis</t>
  </si>
  <si>
    <t>Pertussis</t>
  </si>
  <si>
    <t>Pneumonia</t>
  </si>
  <si>
    <t>Poliomyelitis</t>
  </si>
  <si>
    <t>Pulmonary T.B</t>
  </si>
  <si>
    <t>Rabies</t>
  </si>
  <si>
    <t>Rubella</t>
  </si>
  <si>
    <t>STI Total</t>
  </si>
  <si>
    <t>Scarlet fever</t>
  </si>
  <si>
    <t>Scrub Typhus</t>
  </si>
  <si>
    <t>Streptococcus suis</t>
  </si>
  <si>
    <t>Syphilis</t>
  </si>
  <si>
    <t>T.B. other organs</t>
  </si>
  <si>
    <t>T.B.meningitis</t>
  </si>
  <si>
    <t>TB Total</t>
  </si>
  <si>
    <t>Tetanus exc.Neo</t>
  </si>
  <si>
    <t>Tetanus neonatorum</t>
  </si>
  <si>
    <t>Trichinosis</t>
  </si>
  <si>
    <t>Typhoid</t>
  </si>
  <si>
    <t>Vaginal trichomoniasis</t>
  </si>
  <si>
    <t>Zika virus</t>
  </si>
  <si>
    <t>Fullname</t>
  </si>
  <si>
    <t>Shortname</t>
  </si>
  <si>
    <t>Group</t>
  </si>
  <si>
    <t>Including</t>
  </si>
  <si>
    <t>Forecasting</t>
  </si>
  <si>
    <t>Label</t>
  </si>
  <si>
    <t>Enterovirus</t>
  </si>
  <si>
    <t>Insufficient cases</t>
  </si>
  <si>
    <t>Duplication</t>
  </si>
  <si>
    <t>Vaccine preventable ID</t>
  </si>
  <si>
    <t>Tuberculous meningitis</t>
  </si>
  <si>
    <t>Tuberculous</t>
  </si>
  <si>
    <t>TB</t>
  </si>
  <si>
    <t>STI</t>
  </si>
  <si>
    <t>Sexually ID</t>
  </si>
  <si>
    <t>Unspecifed disease</t>
  </si>
  <si>
    <t>Avian influenza</t>
  </si>
  <si>
    <t>AIV</t>
  </si>
  <si>
    <t>Condyloma acuminata</t>
  </si>
  <si>
    <t>CA</t>
  </si>
  <si>
    <t>Dengue hemorrhagic fever</t>
  </si>
  <si>
    <t>DHF</t>
  </si>
  <si>
    <t>Dengue shock syndrome</t>
  </si>
  <si>
    <t>DSS</t>
  </si>
  <si>
    <t>Amoebic dysentery</t>
  </si>
  <si>
    <t>Amebiasis</t>
  </si>
  <si>
    <t>Bacillary dysentery</t>
  </si>
  <si>
    <t>Shigellosis</t>
  </si>
  <si>
    <t>Unspecifed encephalitis</t>
  </si>
  <si>
    <t>Other encephalitis</t>
  </si>
  <si>
    <t>EM</t>
  </si>
  <si>
    <t>Food poisoning</t>
  </si>
  <si>
    <t>Uninfectious disease</t>
  </si>
  <si>
    <t>Genital herpes simplex</t>
  </si>
  <si>
    <t>Genital herpes</t>
  </si>
  <si>
    <t>Genital molluscum contagiosum</t>
  </si>
  <si>
    <t>MC</t>
  </si>
  <si>
    <t>Hand, food and month disease</t>
  </si>
  <si>
    <t>HFMD</t>
  </si>
  <si>
    <t>Hepatitis A</t>
  </si>
  <si>
    <t>HAV</t>
  </si>
  <si>
    <t>Hepatitis B</t>
  </si>
  <si>
    <t>HBV</t>
  </si>
  <si>
    <t>Hepatitis C</t>
  </si>
  <si>
    <t>HCV</t>
  </si>
  <si>
    <t>Hepatitis D</t>
  </si>
  <si>
    <t>HDV</t>
  </si>
  <si>
    <t>Hepatitis E</t>
  </si>
  <si>
    <t>HEV</t>
  </si>
  <si>
    <t>Unspecifed hepatitis</t>
  </si>
  <si>
    <t>Japanese encephalitis</t>
  </si>
  <si>
    <t>JE</t>
  </si>
  <si>
    <t>Leishmaniasis</t>
  </si>
  <si>
    <t>Lymphogranuloma venereum and other venereal disease</t>
  </si>
  <si>
    <t>LGV and other VD</t>
  </si>
  <si>
    <t>Measles complications</t>
  </si>
  <si>
    <t>Other meningitis</t>
  </si>
  <si>
    <t>Non-specific urethritis</t>
  </si>
  <si>
    <t>Other sexually ID</t>
  </si>
  <si>
    <t>Pediculosis pubis</t>
  </si>
  <si>
    <t>Pediculosis</t>
  </si>
  <si>
    <t>Pulmonary tuberculosis</t>
  </si>
  <si>
    <t>Pulmonary TB</t>
  </si>
  <si>
    <t>Tuberculosis other organs</t>
  </si>
  <si>
    <t>Other TB</t>
  </si>
  <si>
    <t>TBM</t>
  </si>
  <si>
    <t>Tetanus</t>
  </si>
  <si>
    <t>Other tetanus</t>
  </si>
  <si>
    <t>Neonatal tetanus</t>
  </si>
  <si>
    <t>Trichomoniasis</t>
  </si>
  <si>
    <t>Insufficient duration</t>
  </si>
  <si>
    <t>Duplication</t>
    <phoneticPr fontId="18" type="noConversion"/>
  </si>
  <si>
    <t>Uninfectious disease</t>
    <phoneticPr fontId="18" type="noConversion"/>
  </si>
  <si>
    <t>Duplication</t>
    <phoneticPr fontId="18" type="noConversion"/>
  </si>
  <si>
    <t>Streptococcus suis</t>
    <phoneticPr fontId="18" type="noConversion"/>
  </si>
  <si>
    <t>S. suis</t>
    <phoneticPr fontId="18" type="noConversion"/>
  </si>
  <si>
    <t>Note</t>
    <phoneticPr fontId="18" type="noConversion"/>
  </si>
  <si>
    <t>Encephalitis uns</t>
    <phoneticPr fontId="18" type="noConversion"/>
  </si>
  <si>
    <t>Meningitis,uns</t>
    <phoneticPr fontId="18" type="noConversion"/>
  </si>
  <si>
    <t>Meningococcal Meningitis</t>
    <phoneticPr fontId="18" type="noConversion"/>
  </si>
  <si>
    <t>Non-specific urethritis / viral</t>
    <phoneticPr fontId="18" type="noConversion"/>
  </si>
  <si>
    <t>Vector-borne and zoonotic IDs</t>
  </si>
  <si>
    <t>Sexually IDs</t>
  </si>
  <si>
    <t>Respiratory IDs</t>
  </si>
  <si>
    <t>Other IDs</t>
    <phoneticPr fontId="18" type="noConversion"/>
  </si>
  <si>
    <t>Eosinophilic Meningitis</t>
    <phoneticPr fontId="18" type="noConversion"/>
  </si>
  <si>
    <t>Eosinophilic meningitis</t>
    <phoneticPr fontId="18" type="noConversion"/>
  </si>
  <si>
    <t>Duplication</t>
    <phoneticPr fontId="18" type="noConversion"/>
  </si>
  <si>
    <t>Encephalitis Total</t>
    <phoneticPr fontId="18" type="noConversion"/>
  </si>
  <si>
    <t>Encephalitis</t>
  </si>
  <si>
    <t>Encephalitis</t>
    <phoneticPr fontId="18" type="noConversion"/>
  </si>
  <si>
    <t>ECM</t>
    <phoneticPr fontId="18" type="noConversion"/>
  </si>
  <si>
    <t>Unspecifed meningitis</t>
    <phoneticPr fontId="18" type="noConversion"/>
  </si>
  <si>
    <t>Non-seasonal trend</t>
    <phoneticPr fontId="18" type="noConversion"/>
  </si>
  <si>
    <t>No direct transmissible</t>
    <phoneticPr fontId="18" type="noConversion"/>
  </si>
  <si>
    <t>Gastrointestinal IDs</t>
    <phoneticPr fontId="18" type="noConversion"/>
  </si>
  <si>
    <t>Uninfectious disease</t>
    <phoneticPr fontId="18" type="noConversion"/>
  </si>
  <si>
    <t>Unspecifed disease</t>
    <phoneticPr fontId="18" type="noConversion"/>
  </si>
  <si>
    <t>No cases</t>
    <phoneticPr fontId="18" type="noConversion"/>
  </si>
  <si>
    <t>original_name</t>
  </si>
  <si>
    <t>short_name</t>
  </si>
  <si>
    <t>Acute_diarrhea</t>
  </si>
  <si>
    <t>Acute_hepatitis_A_Virus</t>
  </si>
  <si>
    <t>Acute_hepatitis_B_Virus</t>
  </si>
  <si>
    <t>Acute_hepatitis_C_Virus</t>
  </si>
  <si>
    <t>Acute_hepatitis_D_virus</t>
  </si>
  <si>
    <t>Acute_hepatitis_E_virus</t>
  </si>
  <si>
    <t>Amoebic_Dysentery_Amoebiasis</t>
  </si>
  <si>
    <t>Anogenital_Herpes</t>
  </si>
  <si>
    <t>Chikungunya_fever</t>
  </si>
  <si>
    <t>Condyloma_Acuminata_Venereal_Warts</t>
  </si>
  <si>
    <t>Congenital_rubella_syndrome</t>
  </si>
  <si>
    <t>Coronavirus_disease_2019_COVID_19_MISC_from_COVID_19</t>
  </si>
  <si>
    <t>Dengue_fever</t>
  </si>
  <si>
    <t>Dengue_haemorrhagic_fever_DHF</t>
  </si>
  <si>
    <t>Dengue_shock_syndrome_DSS</t>
  </si>
  <si>
    <t>Enterovirus_Fever</t>
  </si>
  <si>
    <t>Food_poisoning</t>
  </si>
  <si>
    <t>Gonorrhea</t>
  </si>
  <si>
    <t>Hand_foot_and_mouth_disease</t>
  </si>
  <si>
    <t>Influenza_Flu</t>
  </si>
  <si>
    <t>Japanese_B_encephalitis_J_E</t>
  </si>
  <si>
    <t>Legionnaires</t>
  </si>
  <si>
    <t>Leptospirosis_Wei_s_disease</t>
  </si>
  <si>
    <t>Liver_fluke</t>
  </si>
  <si>
    <t>Lymphatic_Filariais</t>
  </si>
  <si>
    <t>Lymphogranuloma_Venereum_Granuloma_Inguinale</t>
  </si>
  <si>
    <t>Measles_with_complication</t>
  </si>
  <si>
    <t>Mushroom_poisoning</t>
  </si>
  <si>
    <t>Neonatal_Tetanus</t>
  </si>
  <si>
    <t>Non_Gonococcal_urethritis_NGU</t>
  </si>
  <si>
    <t>Paratyphoid_fever</t>
  </si>
  <si>
    <t>Respiratory_Syncytial_Virus</t>
  </si>
  <si>
    <t>Scarlet_fever</t>
  </si>
  <si>
    <t>Scrub_Typhus</t>
  </si>
  <si>
    <t>Shigellosis_dysentery_Bacillary_dysentery</t>
  </si>
  <si>
    <t>Streptococcus_suis_infection</t>
  </si>
  <si>
    <t>S. suis</t>
  </si>
  <si>
    <t>Syphilis_Congenital_syphilis</t>
  </si>
  <si>
    <t>Trichinosis_Trichinellosis_Trichiniasis</t>
  </si>
  <si>
    <t>Typhoid_fever</t>
  </si>
  <si>
    <t>Unspecified_meningitis</t>
  </si>
  <si>
    <t>Varicella_Chickenpox</t>
  </si>
  <si>
    <t>Zika_virus_disease</t>
  </si>
  <si>
    <t>JE</t>
    <phoneticPr fontId="18" type="noConversion"/>
  </si>
  <si>
    <t>Unreported in 2025</t>
    <phoneticPr fontId="18" type="noConversion"/>
  </si>
  <si>
    <t>location_th</t>
  </si>
  <si>
    <t>location</t>
  </si>
  <si>
    <t>health_zone</t>
  </si>
  <si>
    <t>region</t>
  </si>
  <si>
    <t>แม่ฮ่องสอน</t>
  </si>
  <si>
    <t>Mae Hong Son</t>
  </si>
  <si>
    <t>Zone 1</t>
  </si>
  <si>
    <t>North</t>
  </si>
  <si>
    <t>เชียงใหม่</t>
  </si>
  <si>
    <t>Chiang Mai</t>
  </si>
  <si>
    <t>เชียงราย</t>
  </si>
  <si>
    <t>Chiang Rai</t>
  </si>
  <si>
    <t>น่าน</t>
  </si>
  <si>
    <t>Nan</t>
  </si>
  <si>
    <t>ลำพูน</t>
  </si>
  <si>
    <t>Lamphun</t>
  </si>
  <si>
    <t>ลำปาง</t>
  </si>
  <si>
    <t>Lampang</t>
  </si>
  <si>
    <t>พะเยา</t>
  </si>
  <si>
    <t>Phayao</t>
  </si>
  <si>
    <t>แพร่</t>
  </si>
  <si>
    <t>Phrae</t>
  </si>
  <si>
    <t>ตาก</t>
  </si>
  <si>
    <t>Tak</t>
  </si>
  <si>
    <t>Zone 2</t>
  </si>
  <si>
    <t>พิษณุโลก</t>
  </si>
  <si>
    <t>Phitsanulok</t>
  </si>
  <si>
    <t>เพชรบูรณ์</t>
  </si>
  <si>
    <t>Phetchabun</t>
  </si>
  <si>
    <t>สุโขทัย</t>
  </si>
  <si>
    <t>Sukhothai</t>
  </si>
  <si>
    <t>อุตรดิตถ์</t>
  </si>
  <si>
    <t>Uttaradit</t>
  </si>
  <si>
    <t>กำแพงเพชร</t>
  </si>
  <si>
    <t>Kamphaeng Phet</t>
  </si>
  <si>
    <t>Zone 3</t>
  </si>
  <si>
    <t>Central</t>
  </si>
  <si>
    <t>นครสวรรค์</t>
  </si>
  <si>
    <t>Nakhon Sawan</t>
  </si>
  <si>
    <t>พิจิตร</t>
  </si>
  <si>
    <t>Phichit</t>
  </si>
  <si>
    <t>อุทัยธานี</t>
  </si>
  <si>
    <t>Uthai Thani</t>
  </si>
  <si>
    <t>ชัยนาท</t>
  </si>
  <si>
    <t>Chai Nat</t>
  </si>
  <si>
    <t>พระนครศรีอยุธยา</t>
  </si>
  <si>
    <t>Phra Nakhon Si Ayutthaya</t>
  </si>
  <si>
    <t>Zone 4</t>
  </si>
  <si>
    <t>ลพบุรี</t>
  </si>
  <si>
    <t>Lop Buri</t>
  </si>
  <si>
    <t>สระบุรี</t>
  </si>
  <si>
    <t>Saraburi</t>
  </si>
  <si>
    <t>สิงห์บุรี</t>
  </si>
  <si>
    <t>Sing Buri</t>
  </si>
  <si>
    <t>อ่างทอง</t>
  </si>
  <si>
    <t>Ang Thong</t>
  </si>
  <si>
    <t>นนทบุรี</t>
  </si>
  <si>
    <t>Nonthaburi</t>
  </si>
  <si>
    <t>ปทุมธานี</t>
  </si>
  <si>
    <t>Pathum Thani</t>
  </si>
  <si>
    <t>นครนายก</t>
  </si>
  <si>
    <t>Nakhon Nayok</t>
  </si>
  <si>
    <t>กาญจนบุรี</t>
  </si>
  <si>
    <t>Kanchanaburi</t>
  </si>
  <si>
    <t>Zone 5</t>
  </si>
  <si>
    <t>นครปฐม</t>
  </si>
  <si>
    <t>Nakhon Pathom</t>
  </si>
  <si>
    <t>ราชบุรี</t>
  </si>
  <si>
    <t>Ratchaburi</t>
  </si>
  <si>
    <t>สุพรรณบุรี</t>
  </si>
  <si>
    <t>Suphan Buri</t>
  </si>
  <si>
    <t>ประจวบคีรีขันธ์</t>
  </si>
  <si>
    <t>Prachuap Khiri Khan</t>
  </si>
  <si>
    <t>เพชรบุรี</t>
  </si>
  <si>
    <t>Phetchaburi</t>
  </si>
  <si>
    <t>สมุทรสงคราม</t>
  </si>
  <si>
    <t>Samut Songkhram</t>
  </si>
  <si>
    <t>สมุทรสาคร</t>
  </si>
  <si>
    <t>Samut Sakhon</t>
  </si>
  <si>
    <t>จันทบุรี</t>
  </si>
  <si>
    <t>Chanthaburi</t>
  </si>
  <si>
    <t>Zone 6</t>
  </si>
  <si>
    <t>ฉะเชิงเทรา</t>
  </si>
  <si>
    <t>Chachoengsao</t>
  </si>
  <si>
    <t>ชลบุรี</t>
  </si>
  <si>
    <t>Chon Buri</t>
  </si>
  <si>
    <t>ตราด</t>
  </si>
  <si>
    <t>Trat</t>
  </si>
  <si>
    <t>ปราจีนบุรี</t>
  </si>
  <si>
    <t>Prachin Buri</t>
  </si>
  <si>
    <t>ระยอง</t>
  </si>
  <si>
    <t>Rayong</t>
  </si>
  <si>
    <t>สระแก้ว</t>
  </si>
  <si>
    <t>Sa Kaeo</t>
  </si>
  <si>
    <t>สมุทรปราการ</t>
  </si>
  <si>
    <t>Samut Prakan</t>
  </si>
  <si>
    <t>กาฬสินธุ์</t>
  </si>
  <si>
    <t>Kalasin</t>
  </si>
  <si>
    <t>Zone 7</t>
  </si>
  <si>
    <t>Northeast</t>
  </si>
  <si>
    <t>ขอนแก่น</t>
  </si>
  <si>
    <t>Khon Kaen</t>
  </si>
  <si>
    <t>มหาสารคาม</t>
  </si>
  <si>
    <t>Maha Sarakham</t>
  </si>
  <si>
    <t>ร้อยเอ็ด</t>
  </si>
  <si>
    <t>Roi Et</t>
  </si>
  <si>
    <t>บึงกาฬ</t>
  </si>
  <si>
    <t>Bueng Kan</t>
  </si>
  <si>
    <t>Zone 8</t>
  </si>
  <si>
    <t>เลย</t>
  </si>
  <si>
    <t>Loei</t>
  </si>
  <si>
    <t>หนองคาย</t>
  </si>
  <si>
    <t>Nong Khai</t>
  </si>
  <si>
    <t>หนองบัวลำภู</t>
  </si>
  <si>
    <t>Nong Bua Lam Phu</t>
  </si>
  <si>
    <t>อุดรธานี</t>
  </si>
  <si>
    <t>Udon Thani</t>
  </si>
  <si>
    <t>สกลนคร</t>
  </si>
  <si>
    <t>Sakon Nakhon</t>
  </si>
  <si>
    <t>นครพนม</t>
  </si>
  <si>
    <t>Nakhon Phanom</t>
  </si>
  <si>
    <t>ชัยภูมิ</t>
  </si>
  <si>
    <t>Chaiyaphum</t>
  </si>
  <si>
    <t>Zone 9</t>
  </si>
  <si>
    <t>นครราชสีมา</t>
  </si>
  <si>
    <t>Nakhon Ratchasima</t>
  </si>
  <si>
    <t>บุรีรัมย์</t>
  </si>
  <si>
    <t>Buri Ram</t>
  </si>
  <si>
    <t>สุรินทร์</t>
  </si>
  <si>
    <t>Surin</t>
  </si>
  <si>
    <t>มุกดาหาร</t>
  </si>
  <si>
    <t>Mukdahan</t>
  </si>
  <si>
    <t>Zone 10</t>
  </si>
  <si>
    <t>ยโสธร</t>
  </si>
  <si>
    <t>Yasothon</t>
  </si>
  <si>
    <t>ศรีสะเกษ</t>
  </si>
  <si>
    <t>Si Sa Ket</t>
  </si>
  <si>
    <t>อุบลราชธานี</t>
  </si>
  <si>
    <t>Ubon Ratchathani</t>
  </si>
  <si>
    <t>อำนาจเจริญ</t>
  </si>
  <si>
    <t>Amnat Charoen</t>
  </si>
  <si>
    <t>กระบี่</t>
  </si>
  <si>
    <t>Krabi</t>
  </si>
  <si>
    <t>Zone 11</t>
  </si>
  <si>
    <t>South</t>
  </si>
  <si>
    <t>ชุมพร</t>
  </si>
  <si>
    <t>Chumphon</t>
  </si>
  <si>
    <t>นครศรีธรรมราช</t>
  </si>
  <si>
    <t>Nakhon Si Thammarat</t>
  </si>
  <si>
    <t>พังงา</t>
  </si>
  <si>
    <t>Phangnga</t>
  </si>
  <si>
    <t>ภูเก็ต</t>
  </si>
  <si>
    <t>Phuket</t>
  </si>
  <si>
    <t>ระนอง</t>
  </si>
  <si>
    <t>Ranong</t>
  </si>
  <si>
    <t>สุราษฎร์ธานี</t>
  </si>
  <si>
    <t>Surat Thani</t>
  </si>
  <si>
    <t>ตรัง</t>
  </si>
  <si>
    <t>Trang</t>
  </si>
  <si>
    <t>Zone 12</t>
  </si>
  <si>
    <t>นราธิวาส</t>
  </si>
  <si>
    <t>Narathiwat</t>
  </si>
  <si>
    <t>ปัตตานี</t>
  </si>
  <si>
    <t>Pattani</t>
  </si>
  <si>
    <t>พัทลุง</t>
  </si>
  <si>
    <t>Phatthalung</t>
  </si>
  <si>
    <t>ยะลา</t>
  </si>
  <si>
    <t>Yala</t>
  </si>
  <si>
    <t>สงขลา</t>
  </si>
  <si>
    <t>Songkhla</t>
  </si>
  <si>
    <t>สตูล</t>
  </si>
  <si>
    <t>Satun</t>
  </si>
  <si>
    <t>กรุงเทพมหานคร</t>
  </si>
  <si>
    <t>Bangkok</t>
  </si>
  <si>
    <t>Zone 13</t>
  </si>
  <si>
    <t>ไม่ระบุ</t>
  </si>
  <si>
    <t>Unspecified</t>
  </si>
  <si>
    <t>NA</t>
  </si>
  <si>
    <t>Rubella_Rubella_without_complication</t>
    <phoneticPr fontId="18" type="noConversion"/>
  </si>
  <si>
    <t>Deaths</t>
  </si>
  <si>
    <t>Encephalitis Total</t>
  </si>
  <si>
    <t>Meningitis,uns</t>
  </si>
  <si>
    <t>Deaths</t>
    <phoneticPr fontId="18" type="noConversion"/>
  </si>
  <si>
    <t>Shifting in surveillance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</si>
</sst>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9" fillId="0" borderId="0" xfId="0" applyFont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DFAC4E3-4D79-4CE6-A360-07EB1C55C18A}" autoFormatId="16" applyNumberFormats="0" applyBorderFormats="0" applyFontFormats="0" applyPatternFormats="0" applyAlignmentFormats="0" applyWidthHeightFormats="0">
  <queryTableRefresh nextId="5">
    <queryTableFields count="4">
      <queryTableField id="1" name="Column1" tableColumnId="1"/>
      <queryTableField id="2" name="Column2" tableColumnId="2"/>
      <queryTableField id="3" name="Column3" tableColumnId="3"/>
      <queryTableField id="4" name="Column4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660E96-3AD7-4321-BE63-180CA8FE92BB}" name="location_mapping" displayName="location_mapping" ref="A1:D79" tableType="queryTable" totalsRowShown="0" headerRowDxfId="4">
  <autoFilter ref="A1:D79" xr:uid="{2D660E96-3AD7-4321-BE63-180CA8FE92BB}"/>
  <tableColumns count="4">
    <tableColumn id="1" xr3:uid="{AD18E188-8EC7-4983-BD7B-DD06979CB17B}" uniqueName="1" name="location_th" queryTableFieldId="1" dataDxfId="3"/>
    <tableColumn id="2" xr3:uid="{CF0F92E8-AB5D-4BE9-A521-01DB1E971C24}" uniqueName="2" name="location" queryTableFieldId="2" dataDxfId="2"/>
    <tableColumn id="3" xr3:uid="{9A489977-C399-4291-915B-078BDF20DFAC}" uniqueName="3" name="health_zone" queryTableFieldId="3" dataDxfId="1"/>
    <tableColumn id="4" xr3:uid="{88AEDD23-3A68-4CB5-9D1F-5FFFA35BAD13}" uniqueName="4" name="region" queryTableFieldId="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7238A-8A9D-453B-84D8-7864F7911A3F}">
  <sheetPr filterMode="1"/>
  <dimension ref="A1:L73"/>
  <sheetViews>
    <sheetView tabSelected="1" workbookViewId="0">
      <selection activeCell="L63" sqref="L63"/>
    </sheetView>
  </sheetViews>
  <sheetFormatPr defaultRowHeight="14" x14ac:dyDescent="0.3"/>
  <cols>
    <col min="1" max="1" width="19.33203125" customWidth="1"/>
    <col min="6" max="6" width="14.4140625" customWidth="1"/>
    <col min="7" max="7" width="18.75" customWidth="1"/>
    <col min="8" max="8" width="17.08203125" customWidth="1"/>
  </cols>
  <sheetData>
    <row r="1" spans="1:12" x14ac:dyDescent="0.3">
      <c r="A1" t="s">
        <v>0</v>
      </c>
      <c r="B1" t="s">
        <v>2</v>
      </c>
      <c r="C1" t="s">
        <v>1</v>
      </c>
      <c r="D1" t="s">
        <v>401</v>
      </c>
      <c r="E1" t="s">
        <v>3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149</v>
      </c>
    </row>
    <row r="2" spans="1:12" hidden="1" x14ac:dyDescent="0.3">
      <c r="A2" t="s">
        <v>5</v>
      </c>
      <c r="B2" t="e">
        <f>VLOOKUP($A2,Save!$A:$F,4,FALSE)</f>
        <v>#N/A</v>
      </c>
      <c r="C2" t="e">
        <f>VLOOKUP($A2,Save!$A:$F,2,FALSE)</f>
        <v>#N/A</v>
      </c>
      <c r="D2" t="e">
        <f>VLOOKUP($A2,Save!$A:$F,3,FALSE)</f>
        <v>#N/A</v>
      </c>
      <c r="E2">
        <v>2008</v>
      </c>
      <c r="F2" t="s">
        <v>5</v>
      </c>
      <c r="G2" t="s">
        <v>5</v>
      </c>
      <c r="H2" t="s">
        <v>154</v>
      </c>
      <c r="I2">
        <v>0</v>
      </c>
      <c r="J2">
        <v>0</v>
      </c>
      <c r="K2" t="s">
        <v>171</v>
      </c>
    </row>
    <row r="3" spans="1:12" hidden="1" x14ac:dyDescent="0.3">
      <c r="A3" t="s">
        <v>6</v>
      </c>
      <c r="B3" t="e">
        <f>VLOOKUP($A3,Save!$A:$F,4,FALSE)</f>
        <v>#N/A</v>
      </c>
      <c r="C3" t="e">
        <f>VLOOKUP($A3,Save!$A:$F,2,FALSE)</f>
        <v>#N/A</v>
      </c>
      <c r="D3" t="e">
        <f>VLOOKUP($A3,Save!$A:$F,3,FALSE)</f>
        <v>#N/A</v>
      </c>
      <c r="E3">
        <v>2020</v>
      </c>
      <c r="F3" t="s">
        <v>89</v>
      </c>
      <c r="G3" t="s">
        <v>90</v>
      </c>
      <c r="H3" t="s">
        <v>156</v>
      </c>
      <c r="I3">
        <v>0</v>
      </c>
      <c r="J3">
        <v>0</v>
      </c>
      <c r="K3" t="s">
        <v>171</v>
      </c>
    </row>
    <row r="4" spans="1:12" hidden="1" x14ac:dyDescent="0.3">
      <c r="A4" t="s">
        <v>7</v>
      </c>
      <c r="B4" t="e">
        <f>VLOOKUP($A4,Save!$A:$F,4,FALSE)</f>
        <v>#N/A</v>
      </c>
      <c r="C4" t="e">
        <f>VLOOKUP($A4,Save!$A:$F,2,FALSE)</f>
        <v>#N/A</v>
      </c>
      <c r="D4" t="e">
        <f>VLOOKUP($A4,Save!$A:$F,3,FALSE)</f>
        <v>#N/A</v>
      </c>
      <c r="E4">
        <v>2013</v>
      </c>
      <c r="F4" t="s">
        <v>7</v>
      </c>
      <c r="G4" t="s">
        <v>7</v>
      </c>
      <c r="H4" t="s">
        <v>168</v>
      </c>
      <c r="I4">
        <v>0</v>
      </c>
      <c r="J4">
        <v>0</v>
      </c>
      <c r="K4" t="s">
        <v>169</v>
      </c>
    </row>
    <row r="5" spans="1:12" hidden="1" x14ac:dyDescent="0.3">
      <c r="A5" t="s">
        <v>8</v>
      </c>
      <c r="B5">
        <f>VLOOKUP($A5,Save!$A:$F,4,FALSE)</f>
        <v>144</v>
      </c>
      <c r="C5">
        <f>VLOOKUP($A5,Save!$A:$F,2,FALSE)</f>
        <v>126</v>
      </c>
      <c r="D5">
        <f>VLOOKUP($A5,Save!$A:$F,3,FALSE)</f>
        <v>1</v>
      </c>
      <c r="E5">
        <v>2013</v>
      </c>
      <c r="F5" t="s">
        <v>8</v>
      </c>
      <c r="G5" t="s">
        <v>8</v>
      </c>
      <c r="H5" t="s">
        <v>154</v>
      </c>
      <c r="I5">
        <v>1</v>
      </c>
      <c r="J5">
        <v>0</v>
      </c>
      <c r="K5" t="s">
        <v>80</v>
      </c>
    </row>
    <row r="6" spans="1:12" x14ac:dyDescent="0.3">
      <c r="A6" t="s">
        <v>19</v>
      </c>
      <c r="B6">
        <f>VLOOKUP($A6,Save!$A:$F,4,FALSE)</f>
        <v>216</v>
      </c>
      <c r="C6">
        <f>VLOOKUP($A6,Save!$A:$F,2,FALSE)</f>
        <v>43005</v>
      </c>
      <c r="D6">
        <f>VLOOKUP($A6,Save!$A:$F,3,FALSE)</f>
        <v>4</v>
      </c>
      <c r="E6">
        <v>2008</v>
      </c>
      <c r="F6" t="s">
        <v>97</v>
      </c>
      <c r="G6" t="s">
        <v>98</v>
      </c>
      <c r="H6" t="s">
        <v>168</v>
      </c>
      <c r="I6">
        <v>1</v>
      </c>
      <c r="J6">
        <v>1</v>
      </c>
      <c r="K6">
        <v>0</v>
      </c>
    </row>
    <row r="7" spans="1:12" x14ac:dyDescent="0.3">
      <c r="A7" t="s">
        <v>20</v>
      </c>
      <c r="B7">
        <f>VLOOKUP($A7,Save!$A:$F,4,FALSE)</f>
        <v>216</v>
      </c>
      <c r="C7">
        <f>VLOOKUP($A7,Save!$A:$F,2,FALSE)</f>
        <v>36363</v>
      </c>
      <c r="D7">
        <f>VLOOKUP($A7,Save!$A:$F,3,FALSE)</f>
        <v>1</v>
      </c>
      <c r="E7">
        <v>2008</v>
      </c>
      <c r="F7" t="s">
        <v>99</v>
      </c>
      <c r="G7" t="s">
        <v>100</v>
      </c>
      <c r="H7" t="s">
        <v>168</v>
      </c>
      <c r="I7">
        <v>1</v>
      </c>
      <c r="J7">
        <v>1</v>
      </c>
      <c r="K7">
        <v>0</v>
      </c>
    </row>
    <row r="8" spans="1:12" hidden="1" x14ac:dyDescent="0.3">
      <c r="A8" t="s">
        <v>11</v>
      </c>
      <c r="B8">
        <f>VLOOKUP($A8,Save!$A:$F,4,FALSE)</f>
        <v>216</v>
      </c>
      <c r="C8">
        <f>VLOOKUP($A8,Save!$A:$F,2,FALSE)</f>
        <v>90350</v>
      </c>
      <c r="D8">
        <f>VLOOKUP($A8,Save!$A:$F,3,FALSE)</f>
        <v>1</v>
      </c>
      <c r="E8">
        <v>2008</v>
      </c>
      <c r="F8" t="s">
        <v>11</v>
      </c>
      <c r="G8" t="s">
        <v>11</v>
      </c>
      <c r="H8" t="s">
        <v>154</v>
      </c>
      <c r="I8">
        <v>1</v>
      </c>
      <c r="J8">
        <v>0</v>
      </c>
      <c r="K8" t="s">
        <v>166</v>
      </c>
    </row>
    <row r="9" spans="1:12" hidden="1" x14ac:dyDescent="0.3">
      <c r="A9" t="s">
        <v>12</v>
      </c>
      <c r="B9">
        <f>VLOOKUP($A9,Save!$A:$F,4,FALSE)</f>
        <v>216</v>
      </c>
      <c r="C9">
        <f>VLOOKUP($A9,Save!$A:$F,2,FALSE)</f>
        <v>2761</v>
      </c>
      <c r="D9">
        <f>VLOOKUP($A9,Save!$A:$F,3,FALSE)</f>
        <v>28</v>
      </c>
      <c r="E9">
        <v>2008</v>
      </c>
      <c r="F9" t="s">
        <v>12</v>
      </c>
      <c r="G9" t="s">
        <v>12</v>
      </c>
      <c r="H9" t="s">
        <v>168</v>
      </c>
      <c r="I9">
        <v>1</v>
      </c>
      <c r="J9">
        <v>0</v>
      </c>
      <c r="K9" t="s">
        <v>80</v>
      </c>
    </row>
    <row r="10" spans="1:12" x14ac:dyDescent="0.3">
      <c r="A10" t="s">
        <v>28</v>
      </c>
      <c r="B10">
        <f>VLOOKUP($A10,Save!$A:$F,4,FALSE)</f>
        <v>216</v>
      </c>
      <c r="C10">
        <f>VLOOKUP($A10,Save!$A:$F,2,FALSE)</f>
        <v>9079</v>
      </c>
      <c r="D10">
        <f>VLOOKUP($A10,Save!$A:$F,3,FALSE)</f>
        <v>1</v>
      </c>
      <c r="E10">
        <v>2008</v>
      </c>
      <c r="F10" t="s">
        <v>112</v>
      </c>
      <c r="G10" t="s">
        <v>113</v>
      </c>
      <c r="H10" t="s">
        <v>168</v>
      </c>
      <c r="I10">
        <v>1</v>
      </c>
      <c r="J10">
        <v>1</v>
      </c>
      <c r="K10">
        <v>0</v>
      </c>
    </row>
    <row r="11" spans="1:12" hidden="1" x14ac:dyDescent="0.3">
      <c r="A11" t="s">
        <v>14</v>
      </c>
      <c r="B11" t="e">
        <f>VLOOKUP($A11,Save!$A:$F,4,FALSE)</f>
        <v>#N/A</v>
      </c>
      <c r="C11" t="e">
        <f>VLOOKUP($A11,Save!$A:$F,2,FALSE)</f>
        <v>#N/A</v>
      </c>
      <c r="D11" t="e">
        <f>VLOOKUP($A11,Save!$A:$F,3,FALSE)</f>
        <v>#N/A</v>
      </c>
      <c r="E11">
        <v>2008</v>
      </c>
      <c r="F11" t="s">
        <v>93</v>
      </c>
      <c r="G11" t="s">
        <v>94</v>
      </c>
      <c r="H11" t="s">
        <v>154</v>
      </c>
      <c r="I11">
        <v>0</v>
      </c>
      <c r="J11">
        <v>0</v>
      </c>
      <c r="K11" t="s">
        <v>81</v>
      </c>
    </row>
    <row r="12" spans="1:12" hidden="1" x14ac:dyDescent="0.3">
      <c r="A12" t="s">
        <v>15</v>
      </c>
      <c r="B12" t="e">
        <f>VLOOKUP($A12,Save!$A:$F,4,FALSE)</f>
        <v>#N/A</v>
      </c>
      <c r="C12" t="e">
        <f>VLOOKUP($A12,Save!$A:$F,2,FALSE)</f>
        <v>#N/A</v>
      </c>
      <c r="D12" t="e">
        <f>VLOOKUP($A12,Save!$A:$F,3,FALSE)</f>
        <v>#N/A</v>
      </c>
      <c r="E12">
        <v>2008</v>
      </c>
      <c r="F12" t="s">
        <v>95</v>
      </c>
      <c r="G12" t="s">
        <v>96</v>
      </c>
      <c r="H12" t="s">
        <v>154</v>
      </c>
      <c r="I12">
        <v>0</v>
      </c>
      <c r="J12">
        <v>0</v>
      </c>
      <c r="K12" t="s">
        <v>81</v>
      </c>
    </row>
    <row r="13" spans="1:12" hidden="1" x14ac:dyDescent="0.3">
      <c r="A13" t="s">
        <v>17</v>
      </c>
      <c r="B13" t="e">
        <f>VLOOKUP($A13,Save!$A:$F,4,FALSE)</f>
        <v>#N/A</v>
      </c>
      <c r="C13" t="e">
        <f>VLOOKUP($A13,Save!$A:$F,2,FALSE)</f>
        <v>#N/A</v>
      </c>
      <c r="D13" t="e">
        <f>VLOOKUP($A13,Save!$A:$F,3,FALSE)</f>
        <v>#N/A</v>
      </c>
      <c r="E13">
        <v>2008</v>
      </c>
      <c r="F13" t="s">
        <v>17</v>
      </c>
      <c r="G13" t="s">
        <v>17</v>
      </c>
      <c r="H13" t="s">
        <v>154</v>
      </c>
      <c r="I13">
        <v>0</v>
      </c>
      <c r="J13">
        <v>0</v>
      </c>
      <c r="K13" t="s">
        <v>144</v>
      </c>
    </row>
    <row r="14" spans="1:12" x14ac:dyDescent="0.3">
      <c r="A14" t="s">
        <v>27</v>
      </c>
      <c r="B14">
        <f>VLOOKUP($A14,Save!$A:$F,4,FALSE)</f>
        <v>216</v>
      </c>
      <c r="C14">
        <f>VLOOKUP($A14,Save!$A:$F,2,FALSE)</f>
        <v>960173</v>
      </c>
      <c r="D14">
        <f>VLOOKUP($A14,Save!$A:$F,3,FALSE)</f>
        <v>32</v>
      </c>
      <c r="E14">
        <v>2008</v>
      </c>
      <c r="F14" t="s">
        <v>110</v>
      </c>
      <c r="G14" t="s">
        <v>111</v>
      </c>
      <c r="H14" t="s">
        <v>168</v>
      </c>
      <c r="I14">
        <v>1</v>
      </c>
      <c r="J14">
        <v>1</v>
      </c>
      <c r="K14">
        <v>0</v>
      </c>
    </row>
    <row r="15" spans="1:12" hidden="1" x14ac:dyDescent="0.3">
      <c r="A15" t="s">
        <v>18</v>
      </c>
      <c r="B15">
        <f>VLOOKUP($A15,Save!$A:$F,4,FALSE)</f>
        <v>216</v>
      </c>
      <c r="C15">
        <f>VLOOKUP($A15,Save!$A:$F,2,FALSE)</f>
        <v>351</v>
      </c>
      <c r="D15">
        <f>VLOOKUP($A15,Save!$A:$F,3,FALSE)</f>
        <v>78</v>
      </c>
      <c r="E15">
        <v>2008</v>
      </c>
      <c r="F15" t="s">
        <v>18</v>
      </c>
      <c r="G15" t="s">
        <v>18</v>
      </c>
      <c r="H15" t="s">
        <v>156</v>
      </c>
      <c r="I15">
        <v>1</v>
      </c>
      <c r="J15">
        <v>0</v>
      </c>
      <c r="K15" t="s">
        <v>80</v>
      </c>
    </row>
    <row r="16" spans="1:12" hidden="1" x14ac:dyDescent="0.3">
      <c r="A16" t="s">
        <v>51</v>
      </c>
      <c r="B16">
        <f>VLOOKUP($A16,Save!$A:$F,4,FALSE)</f>
        <v>216</v>
      </c>
      <c r="C16">
        <f>VLOOKUP($A16,Save!$A:$F,2,FALSE)</f>
        <v>4791</v>
      </c>
      <c r="D16">
        <f>VLOOKUP($A16,Save!$A:$F,3,FALSE)</f>
        <v>1</v>
      </c>
      <c r="E16">
        <v>2008</v>
      </c>
      <c r="F16" t="s">
        <v>51</v>
      </c>
      <c r="G16" t="s">
        <v>51</v>
      </c>
      <c r="H16" t="s">
        <v>168</v>
      </c>
      <c r="I16">
        <v>1</v>
      </c>
      <c r="J16">
        <v>0</v>
      </c>
      <c r="K16" t="s">
        <v>80</v>
      </c>
    </row>
    <row r="17" spans="1:11" x14ac:dyDescent="0.3">
      <c r="A17" t="s">
        <v>70</v>
      </c>
      <c r="B17">
        <f>VLOOKUP($A17,Save!$A:$F,4,FALSE)</f>
        <v>216</v>
      </c>
      <c r="C17">
        <f>VLOOKUP($A17,Save!$A:$F,2,FALSE)</f>
        <v>35445</v>
      </c>
      <c r="D17">
        <f>VLOOKUP($A17,Save!$A:$F,3,FALSE)</f>
        <v>1</v>
      </c>
      <c r="E17">
        <v>2008</v>
      </c>
      <c r="F17" t="s">
        <v>70</v>
      </c>
      <c r="G17" t="s">
        <v>70</v>
      </c>
      <c r="H17" t="s">
        <v>168</v>
      </c>
      <c r="I17">
        <v>1</v>
      </c>
      <c r="J17">
        <v>1</v>
      </c>
      <c r="K17">
        <v>0</v>
      </c>
    </row>
    <row r="18" spans="1:11" hidden="1" x14ac:dyDescent="0.3">
      <c r="A18" t="s">
        <v>161</v>
      </c>
      <c r="B18">
        <f>VLOOKUP($A18,Save!$A:$F,4,FALSE)</f>
        <v>216</v>
      </c>
      <c r="C18">
        <f>VLOOKUP($A18,Save!$A:$F,2,FALSE)</f>
        <v>14155</v>
      </c>
      <c r="D18">
        <f>VLOOKUP($A18,Save!$A:$F,3,FALSE)</f>
        <v>210</v>
      </c>
      <c r="E18">
        <v>2008</v>
      </c>
      <c r="F18" t="s">
        <v>162</v>
      </c>
      <c r="G18" t="s">
        <v>163</v>
      </c>
      <c r="H18" t="s">
        <v>157</v>
      </c>
      <c r="I18">
        <v>1</v>
      </c>
      <c r="J18">
        <v>0</v>
      </c>
      <c r="K18" t="s">
        <v>170</v>
      </c>
    </row>
    <row r="19" spans="1:11" hidden="1" x14ac:dyDescent="0.3">
      <c r="A19" t="s">
        <v>150</v>
      </c>
      <c r="B19" t="e">
        <f>VLOOKUP($A19,Save!$A:$F,4,FALSE)</f>
        <v>#N/A</v>
      </c>
      <c r="C19" t="e">
        <f>VLOOKUP($A19,Save!$A:$F,2,FALSE)</f>
        <v>#N/A</v>
      </c>
      <c r="D19" t="e">
        <f>VLOOKUP($A19,Save!$A:$F,3,FALSE)</f>
        <v>#N/A</v>
      </c>
      <c r="E19">
        <v>2008</v>
      </c>
      <c r="F19" t="s">
        <v>101</v>
      </c>
      <c r="G19" t="s">
        <v>102</v>
      </c>
      <c r="H19" t="s">
        <v>157</v>
      </c>
      <c r="I19">
        <v>0</v>
      </c>
      <c r="J19">
        <v>0</v>
      </c>
      <c r="K19" t="s">
        <v>144</v>
      </c>
    </row>
    <row r="20" spans="1:11" hidden="1" x14ac:dyDescent="0.3">
      <c r="A20" t="s">
        <v>21</v>
      </c>
      <c r="B20" t="e">
        <f>VLOOKUP($A20,Save!$A:$F,4,FALSE)</f>
        <v>#N/A</v>
      </c>
      <c r="C20" t="e">
        <f>VLOOKUP($A20,Save!$A:$F,2,FALSE)</f>
        <v>#N/A</v>
      </c>
      <c r="D20" t="e">
        <f>VLOOKUP($A20,Save!$A:$F,3,FALSE)</f>
        <v>#N/A</v>
      </c>
      <c r="E20">
        <v>2019</v>
      </c>
      <c r="F20" t="s">
        <v>79</v>
      </c>
      <c r="G20" t="s">
        <v>79</v>
      </c>
      <c r="H20" t="s">
        <v>168</v>
      </c>
      <c r="I20">
        <v>0</v>
      </c>
      <c r="J20">
        <v>0</v>
      </c>
      <c r="K20" t="s">
        <v>81</v>
      </c>
    </row>
    <row r="21" spans="1:11" hidden="1" x14ac:dyDescent="0.3">
      <c r="A21" t="s">
        <v>158</v>
      </c>
      <c r="B21" t="e">
        <f>VLOOKUP($A21,Save!$A:$F,4,FALSE)</f>
        <v>#N/A</v>
      </c>
      <c r="C21" t="e">
        <f>VLOOKUP($A21,Save!$A:$F,2,FALSE)</f>
        <v>#N/A</v>
      </c>
      <c r="D21" t="e">
        <f>VLOOKUP($A21,Save!$A:$F,3,FALSE)</f>
        <v>#N/A</v>
      </c>
      <c r="E21">
        <v>2008</v>
      </c>
      <c r="F21" t="s">
        <v>159</v>
      </c>
      <c r="G21" t="s">
        <v>103</v>
      </c>
      <c r="H21" t="s">
        <v>154</v>
      </c>
      <c r="I21">
        <v>0</v>
      </c>
      <c r="J21">
        <v>0</v>
      </c>
      <c r="K21" t="s">
        <v>160</v>
      </c>
    </row>
    <row r="22" spans="1:11" hidden="1" x14ac:dyDescent="0.3">
      <c r="A22" t="s">
        <v>22</v>
      </c>
      <c r="B22">
        <f>VLOOKUP($A22,Save!$A:$F,4,FALSE)</f>
        <v>216</v>
      </c>
      <c r="C22">
        <f>VLOOKUP($A22,Save!$A:$F,2,FALSE)</f>
        <v>244</v>
      </c>
      <c r="D22">
        <f>VLOOKUP($A22,Save!$A:$F,3,FALSE)</f>
        <v>0</v>
      </c>
      <c r="E22">
        <v>2008</v>
      </c>
      <c r="F22" t="s">
        <v>22</v>
      </c>
      <c r="G22" t="s">
        <v>22</v>
      </c>
      <c r="H22" t="s">
        <v>154</v>
      </c>
      <c r="I22">
        <v>1</v>
      </c>
      <c r="J22">
        <v>0</v>
      </c>
      <c r="K22" t="s">
        <v>80</v>
      </c>
    </row>
    <row r="23" spans="1:11" hidden="1" x14ac:dyDescent="0.3">
      <c r="A23" t="s">
        <v>23</v>
      </c>
      <c r="B23" t="e">
        <f>VLOOKUP($A23,Save!$A:$F,4,FALSE)</f>
        <v>#N/A</v>
      </c>
      <c r="C23" t="e">
        <f>VLOOKUP($A23,Save!$A:$F,2,FALSE)</f>
        <v>#N/A</v>
      </c>
      <c r="D23" t="e">
        <f>VLOOKUP($A23,Save!$A:$F,3,FALSE)</f>
        <v>#N/A</v>
      </c>
      <c r="E23">
        <v>2008</v>
      </c>
      <c r="F23" t="s">
        <v>104</v>
      </c>
      <c r="G23" t="s">
        <v>104</v>
      </c>
      <c r="H23" t="s">
        <v>157</v>
      </c>
      <c r="I23">
        <v>0</v>
      </c>
      <c r="J23">
        <v>0</v>
      </c>
      <c r="K23" t="s">
        <v>105</v>
      </c>
    </row>
    <row r="24" spans="1:11" hidden="1" x14ac:dyDescent="0.3">
      <c r="A24" t="s">
        <v>151</v>
      </c>
      <c r="B24">
        <f>VLOOKUP($A24,Save!$A:$F,4,FALSE)</f>
        <v>216</v>
      </c>
      <c r="C24">
        <f>VLOOKUP($A24,Save!$A:$F,2,FALSE)</f>
        <v>30583</v>
      </c>
      <c r="D24">
        <f>VLOOKUP($A24,Save!$A:$F,3,FALSE)</f>
        <v>199</v>
      </c>
      <c r="E24">
        <v>2008</v>
      </c>
      <c r="F24" t="s">
        <v>165</v>
      </c>
      <c r="G24" t="s">
        <v>129</v>
      </c>
      <c r="H24" t="s">
        <v>157</v>
      </c>
      <c r="I24">
        <v>1</v>
      </c>
      <c r="J24">
        <v>0</v>
      </c>
      <c r="K24" t="s">
        <v>170</v>
      </c>
    </row>
    <row r="25" spans="1:11" hidden="1" x14ac:dyDescent="0.3">
      <c r="A25" t="s">
        <v>25</v>
      </c>
      <c r="B25" t="e">
        <f>VLOOKUP($A25,Save!$A:$F,4,FALSE)</f>
        <v>#N/A</v>
      </c>
      <c r="C25" t="e">
        <f>VLOOKUP($A25,Save!$A:$F,2,FALSE)</f>
        <v>#N/A</v>
      </c>
      <c r="D25" t="e">
        <f>VLOOKUP($A25,Save!$A:$F,3,FALSE)</f>
        <v>#N/A</v>
      </c>
      <c r="E25">
        <v>2019</v>
      </c>
      <c r="F25" t="s">
        <v>108</v>
      </c>
      <c r="G25" t="s">
        <v>109</v>
      </c>
      <c r="H25" t="s">
        <v>155</v>
      </c>
      <c r="I25">
        <v>0</v>
      </c>
      <c r="J25">
        <v>0</v>
      </c>
      <c r="K25" t="s">
        <v>88</v>
      </c>
    </row>
    <row r="26" spans="1:11" x14ac:dyDescent="0.3">
      <c r="A26" t="s">
        <v>10</v>
      </c>
      <c r="B26">
        <f>VLOOKUP($A26,Save!$A:$F,4,FALSE)</f>
        <v>216</v>
      </c>
      <c r="C26">
        <f>VLOOKUP($A26,Save!$A:$F,2,FALSE)</f>
        <v>907656</v>
      </c>
      <c r="D26">
        <f>VLOOKUP($A26,Save!$A:$F,3,FALSE)</f>
        <v>17</v>
      </c>
      <c r="E26">
        <v>2008</v>
      </c>
      <c r="F26" t="s">
        <v>10</v>
      </c>
      <c r="G26" t="s">
        <v>10</v>
      </c>
      <c r="H26" t="s">
        <v>156</v>
      </c>
      <c r="I26">
        <v>1</v>
      </c>
      <c r="J26">
        <v>1</v>
      </c>
      <c r="K26">
        <v>0</v>
      </c>
    </row>
    <row r="27" spans="1:11" hidden="1" x14ac:dyDescent="0.3">
      <c r="A27" t="s">
        <v>33</v>
      </c>
      <c r="B27" t="e">
        <f>VLOOKUP($A27,Save!$A:$F,4,FALSE)</f>
        <v>#N/A</v>
      </c>
      <c r="C27" t="e">
        <f>VLOOKUP($A27,Save!$A:$F,2,FALSE)</f>
        <v>#N/A</v>
      </c>
      <c r="D27" t="e">
        <f>VLOOKUP($A27,Save!$A:$F,3,FALSE)</f>
        <v>#N/A</v>
      </c>
      <c r="E27">
        <v>2008</v>
      </c>
      <c r="F27" t="s">
        <v>122</v>
      </c>
      <c r="G27" t="s">
        <v>122</v>
      </c>
      <c r="H27" t="s">
        <v>157</v>
      </c>
      <c r="I27">
        <v>0</v>
      </c>
      <c r="J27">
        <v>0</v>
      </c>
      <c r="K27" t="s">
        <v>88</v>
      </c>
    </row>
    <row r="28" spans="1:11" x14ac:dyDescent="0.3">
      <c r="A28" t="s">
        <v>34</v>
      </c>
      <c r="B28">
        <f>VLOOKUP($A28,Save!$A:$F,4,FALSE)</f>
        <v>216</v>
      </c>
      <c r="C28">
        <f>VLOOKUP($A28,Save!$A:$F,2,FALSE)</f>
        <v>4017493</v>
      </c>
      <c r="D28">
        <f>VLOOKUP($A28,Save!$A:$F,3,FALSE)</f>
        <v>831</v>
      </c>
      <c r="E28">
        <v>2008</v>
      </c>
      <c r="F28" t="s">
        <v>34</v>
      </c>
      <c r="G28" t="s">
        <v>34</v>
      </c>
      <c r="H28" t="s">
        <v>156</v>
      </c>
      <c r="I28">
        <v>1</v>
      </c>
      <c r="J28">
        <v>1</v>
      </c>
      <c r="K28">
        <v>0</v>
      </c>
    </row>
    <row r="29" spans="1:11" x14ac:dyDescent="0.3">
      <c r="A29" t="s">
        <v>47</v>
      </c>
      <c r="B29">
        <f>VLOOKUP($A29,Save!$A:$F,4,FALSE)</f>
        <v>216</v>
      </c>
      <c r="C29">
        <f>VLOOKUP($A29,Save!$A:$F,2,FALSE)</f>
        <v>95578</v>
      </c>
      <c r="D29">
        <f>VLOOKUP($A29,Save!$A:$F,3,FALSE)</f>
        <v>0</v>
      </c>
      <c r="E29">
        <v>2008</v>
      </c>
      <c r="F29" t="s">
        <v>47</v>
      </c>
      <c r="G29" t="s">
        <v>47</v>
      </c>
      <c r="H29" t="s">
        <v>156</v>
      </c>
      <c r="I29">
        <v>1</v>
      </c>
      <c r="J29">
        <v>1</v>
      </c>
      <c r="K29">
        <v>0</v>
      </c>
    </row>
    <row r="30" spans="1:11" x14ac:dyDescent="0.3">
      <c r="A30" t="s">
        <v>54</v>
      </c>
      <c r="B30">
        <f>VLOOKUP($A30,Save!$A:$F,4,FALSE)</f>
        <v>216</v>
      </c>
      <c r="C30">
        <f>VLOOKUP($A30,Save!$A:$F,2,FALSE)</f>
        <v>4228954</v>
      </c>
      <c r="D30">
        <f>VLOOKUP($A30,Save!$A:$F,3,FALSE)</f>
        <v>12306</v>
      </c>
      <c r="E30">
        <v>2008</v>
      </c>
      <c r="F30" t="s">
        <v>54</v>
      </c>
      <c r="G30" t="s">
        <v>54</v>
      </c>
      <c r="H30" t="s">
        <v>156</v>
      </c>
      <c r="I30">
        <v>1</v>
      </c>
      <c r="J30">
        <v>1</v>
      </c>
      <c r="K30">
        <v>0</v>
      </c>
    </row>
    <row r="31" spans="1:11" hidden="1" x14ac:dyDescent="0.3">
      <c r="A31" t="s">
        <v>31</v>
      </c>
      <c r="B31">
        <f>VLOOKUP($A31,Save!$A:$F,4,FALSE)</f>
        <v>216</v>
      </c>
      <c r="C31">
        <f>VLOOKUP($A31,Save!$A:$F,2,FALSE)</f>
        <v>1554</v>
      </c>
      <c r="D31">
        <f>VLOOKUP($A31,Save!$A:$F,3,FALSE)</f>
        <v>3</v>
      </c>
      <c r="E31">
        <v>2008</v>
      </c>
      <c r="F31" t="s">
        <v>118</v>
      </c>
      <c r="G31" t="s">
        <v>119</v>
      </c>
      <c r="H31" t="s">
        <v>155</v>
      </c>
      <c r="I31">
        <v>1</v>
      </c>
      <c r="J31">
        <v>0</v>
      </c>
      <c r="K31" t="s">
        <v>80</v>
      </c>
    </row>
    <row r="32" spans="1:11" hidden="1" x14ac:dyDescent="0.3">
      <c r="A32" t="s">
        <v>32</v>
      </c>
      <c r="B32">
        <f>VLOOKUP($A32,Save!$A:$F,4,FALSE)</f>
        <v>216</v>
      </c>
      <c r="C32">
        <f>VLOOKUP($A32,Save!$A:$F,2,FALSE)</f>
        <v>874</v>
      </c>
      <c r="D32">
        <f>VLOOKUP($A32,Save!$A:$F,3,FALSE)</f>
        <v>0</v>
      </c>
      <c r="E32">
        <v>2008</v>
      </c>
      <c r="F32" t="s">
        <v>120</v>
      </c>
      <c r="G32" t="s">
        <v>121</v>
      </c>
      <c r="H32" t="s">
        <v>168</v>
      </c>
      <c r="I32">
        <v>1</v>
      </c>
      <c r="J32">
        <v>0</v>
      </c>
      <c r="K32" t="s">
        <v>80</v>
      </c>
    </row>
    <row r="33" spans="1:11" x14ac:dyDescent="0.3">
      <c r="A33" t="s">
        <v>58</v>
      </c>
      <c r="B33">
        <f>VLOOKUP($A33,Save!$A:$F,4,FALSE)</f>
        <v>216</v>
      </c>
      <c r="C33">
        <f>VLOOKUP($A33,Save!$A:$F,2,FALSE)</f>
        <v>5153</v>
      </c>
      <c r="D33">
        <f>VLOOKUP($A33,Save!$A:$F,3,FALSE)</f>
        <v>0</v>
      </c>
      <c r="E33">
        <v>2008</v>
      </c>
      <c r="F33" t="s">
        <v>58</v>
      </c>
      <c r="G33" t="s">
        <v>58</v>
      </c>
      <c r="H33" t="s">
        <v>156</v>
      </c>
      <c r="I33">
        <v>1</v>
      </c>
      <c r="J33">
        <v>1</v>
      </c>
      <c r="K33">
        <v>0</v>
      </c>
    </row>
    <row r="34" spans="1:11" x14ac:dyDescent="0.3">
      <c r="A34" t="s">
        <v>60</v>
      </c>
      <c r="B34">
        <f>VLOOKUP($A34,Save!$A:$F,4,FALSE)</f>
        <v>216</v>
      </c>
      <c r="C34">
        <f>VLOOKUP($A34,Save!$A:$F,2,FALSE)</f>
        <v>28544</v>
      </c>
      <c r="D34">
        <f>VLOOKUP($A34,Save!$A:$F,3,FALSE)</f>
        <v>0</v>
      </c>
      <c r="E34">
        <v>2008</v>
      </c>
      <c r="F34" t="s">
        <v>60</v>
      </c>
      <c r="G34" t="s">
        <v>60</v>
      </c>
      <c r="H34" t="s">
        <v>156</v>
      </c>
      <c r="I34">
        <v>1</v>
      </c>
      <c r="J34">
        <v>1</v>
      </c>
      <c r="K34">
        <v>0</v>
      </c>
    </row>
    <row r="35" spans="1:11" hidden="1" x14ac:dyDescent="0.3">
      <c r="A35" t="s">
        <v>35</v>
      </c>
      <c r="B35">
        <f>VLOOKUP($A35,Save!$A:$F,4,FALSE)</f>
        <v>96</v>
      </c>
      <c r="C35">
        <f>VLOOKUP($A35,Save!$A:$F,2,FALSE)</f>
        <v>65</v>
      </c>
      <c r="D35">
        <f>VLOOKUP($A35,Save!$A:$F,3,FALSE)</f>
        <v>1</v>
      </c>
      <c r="E35">
        <v>2018</v>
      </c>
      <c r="F35" t="s">
        <v>123</v>
      </c>
      <c r="G35" t="s">
        <v>124</v>
      </c>
      <c r="H35" t="s">
        <v>154</v>
      </c>
      <c r="I35">
        <v>1</v>
      </c>
      <c r="J35">
        <v>0</v>
      </c>
      <c r="K35" t="s">
        <v>80</v>
      </c>
    </row>
    <row r="36" spans="1:11" hidden="1" x14ac:dyDescent="0.3">
      <c r="A36" t="s">
        <v>36</v>
      </c>
      <c r="B36">
        <f>VLOOKUP($A36,Save!$A:$F,4,FALSE)</f>
        <v>216</v>
      </c>
      <c r="C36">
        <f>VLOOKUP($A36,Save!$A:$F,2,FALSE)</f>
        <v>23</v>
      </c>
      <c r="D36">
        <f>VLOOKUP($A36,Save!$A:$F,3,FALSE)</f>
        <v>1</v>
      </c>
      <c r="E36">
        <v>2008</v>
      </c>
      <c r="F36" t="s">
        <v>36</v>
      </c>
      <c r="G36" t="s">
        <v>125</v>
      </c>
      <c r="H36" t="s">
        <v>154</v>
      </c>
      <c r="I36">
        <v>1</v>
      </c>
      <c r="J36">
        <v>0</v>
      </c>
      <c r="K36" t="s">
        <v>80</v>
      </c>
    </row>
    <row r="37" spans="1:11" hidden="1" x14ac:dyDescent="0.3">
      <c r="A37" t="s">
        <v>37</v>
      </c>
      <c r="B37" t="e">
        <f>VLOOKUP($A37,Save!$A:$F,4,FALSE)</f>
        <v>#N/A</v>
      </c>
      <c r="C37" t="e">
        <f>VLOOKUP($A37,Save!$A:$F,2,FALSE)</f>
        <v>#N/A</v>
      </c>
      <c r="D37" t="e">
        <f>VLOOKUP($A37,Save!$A:$F,3,FALSE)</f>
        <v>#N/A</v>
      </c>
      <c r="E37">
        <v>2008</v>
      </c>
      <c r="F37" t="s">
        <v>126</v>
      </c>
      <c r="G37" t="s">
        <v>127</v>
      </c>
      <c r="H37" t="s">
        <v>155</v>
      </c>
      <c r="I37">
        <v>0</v>
      </c>
      <c r="J37">
        <v>0</v>
      </c>
      <c r="K37" t="s">
        <v>88</v>
      </c>
    </row>
    <row r="38" spans="1:11" hidden="1" x14ac:dyDescent="0.3">
      <c r="A38" t="s">
        <v>38</v>
      </c>
      <c r="B38">
        <f>VLOOKUP($A38,Save!$A:$F,4,FALSE)</f>
        <v>216</v>
      </c>
      <c r="C38">
        <f>VLOOKUP($A38,Save!$A:$F,2,FALSE)</f>
        <v>2352</v>
      </c>
      <c r="D38">
        <f>VLOOKUP($A38,Save!$A:$F,3,FALSE)</f>
        <v>1</v>
      </c>
      <c r="E38">
        <v>2008</v>
      </c>
      <c r="F38" t="s">
        <v>38</v>
      </c>
      <c r="G38" t="s">
        <v>38</v>
      </c>
      <c r="H38" t="s">
        <v>156</v>
      </c>
      <c r="I38">
        <v>1</v>
      </c>
      <c r="J38">
        <v>0</v>
      </c>
      <c r="K38" t="s">
        <v>80</v>
      </c>
    </row>
    <row r="39" spans="1:11" x14ac:dyDescent="0.3">
      <c r="A39" t="s">
        <v>9</v>
      </c>
      <c r="B39">
        <f>VLOOKUP($A39,Save!$A:$F,4,FALSE)</f>
        <v>216</v>
      </c>
      <c r="C39">
        <f>VLOOKUP($A39,Save!$A:$F,2,FALSE)</f>
        <v>18596</v>
      </c>
      <c r="D39">
        <f>VLOOKUP($A39,Save!$A:$F,3,FALSE)</f>
        <v>0</v>
      </c>
      <c r="E39">
        <v>2008</v>
      </c>
      <c r="F39" t="s">
        <v>9</v>
      </c>
      <c r="G39" t="s">
        <v>9</v>
      </c>
      <c r="H39" t="s">
        <v>155</v>
      </c>
      <c r="I39">
        <v>1</v>
      </c>
      <c r="J39">
        <v>1</v>
      </c>
      <c r="K39">
        <v>0</v>
      </c>
    </row>
    <row r="40" spans="1:11" hidden="1" x14ac:dyDescent="0.3">
      <c r="A40" t="s">
        <v>40</v>
      </c>
      <c r="B40">
        <f>VLOOKUP($A40,Save!$A:$F,4,FALSE)</f>
        <v>216</v>
      </c>
      <c r="C40">
        <f>VLOOKUP($A40,Save!$A:$F,2,FALSE)</f>
        <v>13876</v>
      </c>
      <c r="D40">
        <f>VLOOKUP($A40,Save!$A:$F,3,FALSE)</f>
        <v>0</v>
      </c>
      <c r="E40">
        <v>2008</v>
      </c>
      <c r="F40" t="s">
        <v>40</v>
      </c>
      <c r="G40" t="s">
        <v>40</v>
      </c>
      <c r="H40" t="s">
        <v>168</v>
      </c>
      <c r="I40">
        <v>1</v>
      </c>
      <c r="J40">
        <v>0</v>
      </c>
      <c r="K40" t="s">
        <v>166</v>
      </c>
    </row>
    <row r="41" spans="1:11" x14ac:dyDescent="0.3">
      <c r="A41" t="s">
        <v>13</v>
      </c>
      <c r="B41">
        <f>VLOOKUP($A41,Save!$A:$F,4,FALSE)</f>
        <v>216</v>
      </c>
      <c r="C41">
        <f>VLOOKUP($A41,Save!$A:$F,2,FALSE)</f>
        <v>68761</v>
      </c>
      <c r="D41">
        <f>VLOOKUP($A41,Save!$A:$F,3,FALSE)</f>
        <v>0</v>
      </c>
      <c r="E41">
        <v>2008</v>
      </c>
      <c r="F41" t="s">
        <v>91</v>
      </c>
      <c r="G41" t="s">
        <v>92</v>
      </c>
      <c r="H41" t="s">
        <v>155</v>
      </c>
      <c r="I41">
        <v>1</v>
      </c>
      <c r="J41">
        <v>1</v>
      </c>
      <c r="K41">
        <v>0</v>
      </c>
    </row>
    <row r="42" spans="1:11" hidden="1" x14ac:dyDescent="0.3">
      <c r="A42" t="s">
        <v>42</v>
      </c>
      <c r="B42" t="e">
        <f>VLOOKUP($A42,Save!$A:$F,4,FALSE)</f>
        <v>#N/A</v>
      </c>
      <c r="C42" t="e">
        <f>VLOOKUP($A42,Save!$A:$F,2,FALSE)</f>
        <v>#N/A</v>
      </c>
      <c r="D42" t="e">
        <f>VLOOKUP($A42,Save!$A:$F,3,FALSE)</f>
        <v>#N/A</v>
      </c>
      <c r="E42">
        <v>2008</v>
      </c>
      <c r="F42" t="s">
        <v>42</v>
      </c>
      <c r="G42" t="s">
        <v>42</v>
      </c>
      <c r="H42" t="s">
        <v>82</v>
      </c>
      <c r="I42">
        <v>0</v>
      </c>
      <c r="J42">
        <v>0</v>
      </c>
      <c r="K42" t="s">
        <v>81</v>
      </c>
    </row>
    <row r="43" spans="1:11" hidden="1" x14ac:dyDescent="0.3">
      <c r="A43" t="s">
        <v>44</v>
      </c>
      <c r="B43" t="e">
        <f>VLOOKUP($A43,Save!$A:$F,4,FALSE)</f>
        <v>#N/A</v>
      </c>
      <c r="C43" t="e">
        <f>VLOOKUP($A43,Save!$A:$F,2,FALSE)</f>
        <v>#N/A</v>
      </c>
      <c r="D43" t="e">
        <f>VLOOKUP($A43,Save!$A:$F,3,FALSE)</f>
        <v>#N/A</v>
      </c>
      <c r="E43">
        <v>2013</v>
      </c>
      <c r="F43" t="s">
        <v>44</v>
      </c>
      <c r="G43" t="s">
        <v>128</v>
      </c>
      <c r="H43" t="s">
        <v>82</v>
      </c>
      <c r="I43">
        <v>0</v>
      </c>
      <c r="J43">
        <v>0</v>
      </c>
      <c r="K43" t="s">
        <v>81</v>
      </c>
    </row>
    <row r="44" spans="1:11" hidden="1" x14ac:dyDescent="0.3">
      <c r="A44" t="s">
        <v>43</v>
      </c>
      <c r="B44">
        <f>VLOOKUP($A44,Save!$A:$F,4,FALSE)</f>
        <v>216</v>
      </c>
      <c r="C44">
        <f>VLOOKUP($A44,Save!$A:$F,2,FALSE)</f>
        <v>57137</v>
      </c>
      <c r="D44">
        <f>VLOOKUP($A44,Save!$A:$F,3,FALSE)</f>
        <v>48</v>
      </c>
      <c r="E44">
        <v>2008</v>
      </c>
      <c r="F44" t="s">
        <v>42</v>
      </c>
      <c r="G44" t="s">
        <v>42</v>
      </c>
      <c r="H44" t="s">
        <v>156</v>
      </c>
      <c r="I44">
        <v>1</v>
      </c>
      <c r="J44">
        <v>0</v>
      </c>
      <c r="K44" t="s">
        <v>166</v>
      </c>
    </row>
    <row r="45" spans="1:11" x14ac:dyDescent="0.3">
      <c r="A45" t="s">
        <v>24</v>
      </c>
      <c r="B45">
        <f>VLOOKUP($A45,Save!$A:$F,4,FALSE)</f>
        <v>216</v>
      </c>
      <c r="C45">
        <f>VLOOKUP($A45,Save!$A:$F,2,FALSE)</f>
        <v>41226</v>
      </c>
      <c r="D45">
        <f>VLOOKUP($A45,Save!$A:$F,3,FALSE)</f>
        <v>1</v>
      </c>
      <c r="E45">
        <v>2008</v>
      </c>
      <c r="F45" t="s">
        <v>106</v>
      </c>
      <c r="G45" t="s">
        <v>107</v>
      </c>
      <c r="H45" t="s">
        <v>155</v>
      </c>
      <c r="I45">
        <v>1</v>
      </c>
      <c r="J45">
        <v>1</v>
      </c>
      <c r="K45">
        <v>0</v>
      </c>
    </row>
    <row r="46" spans="1:11" x14ac:dyDescent="0.3">
      <c r="A46" t="s">
        <v>26</v>
      </c>
      <c r="B46">
        <f>VLOOKUP($A46,Save!$A:$F,4,FALSE)</f>
        <v>216</v>
      </c>
      <c r="C46">
        <f>VLOOKUP($A46,Save!$A:$F,2,FALSE)</f>
        <v>162360</v>
      </c>
      <c r="D46">
        <f>VLOOKUP($A46,Save!$A:$F,3,FALSE)</f>
        <v>0</v>
      </c>
      <c r="E46">
        <v>2008</v>
      </c>
      <c r="F46" t="s">
        <v>26</v>
      </c>
      <c r="G46" t="s">
        <v>26</v>
      </c>
      <c r="H46" t="s">
        <v>155</v>
      </c>
      <c r="I46">
        <v>1</v>
      </c>
      <c r="J46">
        <v>1</v>
      </c>
      <c r="K46">
        <v>0</v>
      </c>
    </row>
    <row r="47" spans="1:11" hidden="1" x14ac:dyDescent="0.3">
      <c r="A47" t="s">
        <v>152</v>
      </c>
      <c r="B47" t="e">
        <f>VLOOKUP($A47,Save!$A:$F,4,FALSE)</f>
        <v>#N/A</v>
      </c>
      <c r="C47" t="e">
        <f>VLOOKUP($A47,Save!$A:$F,2,FALSE)</f>
        <v>#N/A</v>
      </c>
      <c r="D47" t="e">
        <f>VLOOKUP($A47,Save!$A:$F,3,FALSE)</f>
        <v>#N/A</v>
      </c>
      <c r="E47">
        <v>2008</v>
      </c>
      <c r="F47" t="s">
        <v>46</v>
      </c>
      <c r="G47" t="s">
        <v>164</v>
      </c>
      <c r="H47" t="s">
        <v>157</v>
      </c>
      <c r="I47">
        <v>0</v>
      </c>
      <c r="J47">
        <v>0</v>
      </c>
      <c r="K47" t="s">
        <v>218</v>
      </c>
    </row>
    <row r="48" spans="1:11" x14ac:dyDescent="0.3">
      <c r="A48" t="s">
        <v>29</v>
      </c>
      <c r="B48">
        <f>VLOOKUP($A48,Save!$A:$F,4,FALSE)</f>
        <v>216</v>
      </c>
      <c r="C48">
        <f>VLOOKUP($A48,Save!$A:$F,2,FALSE)</f>
        <v>134671</v>
      </c>
      <c r="D48">
        <f>VLOOKUP($A48,Save!$A:$F,3,FALSE)</f>
        <v>40</v>
      </c>
      <c r="E48">
        <v>2008</v>
      </c>
      <c r="F48" t="s">
        <v>114</v>
      </c>
      <c r="G48" t="s">
        <v>115</v>
      </c>
      <c r="H48" t="s">
        <v>155</v>
      </c>
      <c r="I48">
        <v>1</v>
      </c>
      <c r="J48">
        <v>1</v>
      </c>
      <c r="K48">
        <v>0</v>
      </c>
    </row>
    <row r="49" spans="1:12" hidden="1" x14ac:dyDescent="0.3">
      <c r="A49" t="s">
        <v>48</v>
      </c>
      <c r="B49" t="e">
        <f>VLOOKUP($A49,Save!$A:$F,4,FALSE)</f>
        <v>#N/A</v>
      </c>
      <c r="C49" t="e">
        <f>VLOOKUP($A49,Save!$A:$F,2,FALSE)</f>
        <v>#N/A</v>
      </c>
      <c r="D49" t="e">
        <f>VLOOKUP($A49,Save!$A:$F,3,FALSE)</f>
        <v>#N/A</v>
      </c>
      <c r="E49">
        <v>2008</v>
      </c>
      <c r="F49" t="s">
        <v>48</v>
      </c>
      <c r="G49" t="s">
        <v>48</v>
      </c>
      <c r="H49" t="s">
        <v>157</v>
      </c>
      <c r="I49">
        <v>0</v>
      </c>
      <c r="J49">
        <v>0</v>
      </c>
      <c r="K49" t="s">
        <v>105</v>
      </c>
    </row>
    <row r="50" spans="1:12" hidden="1" x14ac:dyDescent="0.3">
      <c r="A50" t="s">
        <v>49</v>
      </c>
      <c r="B50" t="e">
        <f>VLOOKUP($A50,Save!$A:$F,4,FALSE)</f>
        <v>#N/A</v>
      </c>
      <c r="C50" t="e">
        <f>VLOOKUP($A50,Save!$A:$F,2,FALSE)</f>
        <v>#N/A</v>
      </c>
      <c r="D50" t="e">
        <f>VLOOKUP($A50,Save!$A:$F,3,FALSE)</f>
        <v>#N/A</v>
      </c>
      <c r="E50">
        <v>2008</v>
      </c>
      <c r="F50" t="s">
        <v>153</v>
      </c>
      <c r="G50" t="s">
        <v>130</v>
      </c>
      <c r="H50" t="s">
        <v>155</v>
      </c>
      <c r="I50">
        <v>0</v>
      </c>
      <c r="J50">
        <v>0</v>
      </c>
      <c r="K50" t="s">
        <v>88</v>
      </c>
    </row>
    <row r="51" spans="1:12" hidden="1" x14ac:dyDescent="0.3">
      <c r="A51" t="s">
        <v>50</v>
      </c>
      <c r="B51" t="e">
        <f>VLOOKUP($A51,Save!$A:$F,4,FALSE)</f>
        <v>#N/A</v>
      </c>
      <c r="C51" t="e">
        <f>VLOOKUP($A51,Save!$A:$F,2,FALSE)</f>
        <v>#N/A</v>
      </c>
      <c r="D51" t="e">
        <f>VLOOKUP($A51,Save!$A:$F,3,FALSE)</f>
        <v>#N/A</v>
      </c>
      <c r="E51">
        <v>2010</v>
      </c>
      <c r="F51" t="s">
        <v>131</v>
      </c>
      <c r="G51" t="s">
        <v>131</v>
      </c>
      <c r="H51" t="s">
        <v>155</v>
      </c>
      <c r="I51">
        <v>0</v>
      </c>
      <c r="J51">
        <v>0</v>
      </c>
      <c r="K51" t="s">
        <v>88</v>
      </c>
    </row>
    <row r="52" spans="1:12" x14ac:dyDescent="0.3">
      <c r="A52" t="s">
        <v>30</v>
      </c>
      <c r="B52">
        <f>VLOOKUP($A52,Save!$A:$F,4,FALSE)</f>
        <v>216</v>
      </c>
      <c r="C52">
        <f>VLOOKUP($A52,Save!$A:$F,2,FALSE)</f>
        <v>17254</v>
      </c>
      <c r="D52">
        <f>VLOOKUP($A52,Save!$A:$F,3,FALSE)</f>
        <v>7</v>
      </c>
      <c r="E52">
        <v>2008</v>
      </c>
      <c r="F52" t="s">
        <v>116</v>
      </c>
      <c r="G52" t="s">
        <v>117</v>
      </c>
      <c r="H52" t="s">
        <v>155</v>
      </c>
      <c r="I52">
        <v>1</v>
      </c>
      <c r="J52">
        <v>1</v>
      </c>
      <c r="K52">
        <v>0</v>
      </c>
    </row>
    <row r="53" spans="1:12" hidden="1" x14ac:dyDescent="0.3">
      <c r="A53" t="s">
        <v>52</v>
      </c>
      <c r="B53" t="e">
        <f>VLOOKUP($A53,Save!$A:$F,4,FALSE)</f>
        <v>#N/A</v>
      </c>
      <c r="C53" t="e">
        <f>VLOOKUP($A53,Save!$A:$F,2,FALSE)</f>
        <v>#N/A</v>
      </c>
      <c r="D53" t="e">
        <f>VLOOKUP($A53,Save!$A:$F,3,FALSE)</f>
        <v>#N/A</v>
      </c>
      <c r="E53">
        <v>2019</v>
      </c>
      <c r="F53" t="s">
        <v>132</v>
      </c>
      <c r="G53" t="s">
        <v>133</v>
      </c>
      <c r="H53" t="s">
        <v>155</v>
      </c>
      <c r="I53">
        <v>0</v>
      </c>
      <c r="J53">
        <v>0</v>
      </c>
      <c r="K53" t="s">
        <v>218</v>
      </c>
    </row>
    <row r="54" spans="1:12" hidden="1" x14ac:dyDescent="0.3">
      <c r="A54" t="s">
        <v>53</v>
      </c>
      <c r="B54">
        <f>VLOOKUP($A54,Save!$A:$F,4,FALSE)</f>
        <v>216</v>
      </c>
      <c r="C54">
        <f>VLOOKUP($A54,Save!$A:$F,2,FALSE)</f>
        <v>2551</v>
      </c>
      <c r="D54">
        <f>VLOOKUP($A54,Save!$A:$F,3,FALSE)</f>
        <v>15</v>
      </c>
      <c r="E54">
        <v>2008</v>
      </c>
      <c r="F54" t="s">
        <v>53</v>
      </c>
      <c r="G54" t="s">
        <v>53</v>
      </c>
      <c r="H54" t="s">
        <v>156</v>
      </c>
      <c r="I54">
        <v>1</v>
      </c>
      <c r="J54">
        <v>0</v>
      </c>
      <c r="K54" t="s">
        <v>80</v>
      </c>
    </row>
    <row r="55" spans="1:12" x14ac:dyDescent="0.3">
      <c r="A55" t="s">
        <v>63</v>
      </c>
      <c r="B55">
        <f>VLOOKUP($A55,Save!$A:$F,4,FALSE)</f>
        <v>216</v>
      </c>
      <c r="C55">
        <f>VLOOKUP($A55,Save!$A:$F,2,FALSE)</f>
        <v>159408</v>
      </c>
      <c r="D55">
        <f>VLOOKUP($A55,Save!$A:$F,3,FALSE)</f>
        <v>19</v>
      </c>
      <c r="E55">
        <v>2008</v>
      </c>
      <c r="F55" t="s">
        <v>63</v>
      </c>
      <c r="G55" t="s">
        <v>63</v>
      </c>
      <c r="H55" t="s">
        <v>155</v>
      </c>
      <c r="I55">
        <v>1</v>
      </c>
      <c r="J55">
        <v>1</v>
      </c>
      <c r="K55">
        <v>0</v>
      </c>
    </row>
    <row r="56" spans="1:12" hidden="1" x14ac:dyDescent="0.3">
      <c r="A56" t="s">
        <v>55</v>
      </c>
      <c r="B56" t="e">
        <f>VLOOKUP($A56,Save!$A:$F,4,FALSE)</f>
        <v>#N/A</v>
      </c>
      <c r="C56" t="e">
        <f>VLOOKUP($A56,Save!$A:$F,2,FALSE)</f>
        <v>#N/A</v>
      </c>
      <c r="D56" t="e">
        <f>VLOOKUP($A56,Save!$A:$F,3,FALSE)</f>
        <v>#N/A</v>
      </c>
      <c r="E56">
        <v>2008</v>
      </c>
      <c r="F56" t="s">
        <v>55</v>
      </c>
      <c r="G56" t="s">
        <v>55</v>
      </c>
      <c r="H56" t="s">
        <v>82</v>
      </c>
      <c r="I56">
        <v>0</v>
      </c>
      <c r="J56">
        <v>0</v>
      </c>
      <c r="K56" t="s">
        <v>171</v>
      </c>
    </row>
    <row r="57" spans="1:12" hidden="1" x14ac:dyDescent="0.3">
      <c r="A57" t="s">
        <v>56</v>
      </c>
      <c r="B57" t="e">
        <f>VLOOKUP($A57,Save!$A:$F,4,FALSE)</f>
        <v>#N/A</v>
      </c>
      <c r="C57" t="e">
        <f>VLOOKUP($A57,Save!$A:$F,2,FALSE)</f>
        <v>#N/A</v>
      </c>
      <c r="D57" t="e">
        <f>VLOOKUP($A57,Save!$A:$F,3,FALSE)</f>
        <v>#N/A</v>
      </c>
      <c r="E57">
        <v>2008</v>
      </c>
      <c r="F57" t="s">
        <v>134</v>
      </c>
      <c r="G57" t="s">
        <v>135</v>
      </c>
      <c r="H57" t="s">
        <v>156</v>
      </c>
      <c r="I57">
        <v>0</v>
      </c>
      <c r="J57">
        <v>0</v>
      </c>
      <c r="K57" t="s">
        <v>146</v>
      </c>
    </row>
    <row r="58" spans="1:12" hidden="1" x14ac:dyDescent="0.3">
      <c r="A58" t="s">
        <v>57</v>
      </c>
      <c r="B58" t="e">
        <f>VLOOKUP($A58,Save!$A:$F,4,FALSE)</f>
        <v>#N/A</v>
      </c>
      <c r="C58" t="e">
        <f>VLOOKUP($A58,Save!$A:$F,2,FALSE)</f>
        <v>#N/A</v>
      </c>
      <c r="D58" t="e">
        <f>VLOOKUP($A58,Save!$A:$F,3,FALSE)</f>
        <v>#N/A</v>
      </c>
      <c r="E58">
        <v>2008</v>
      </c>
      <c r="F58" t="s">
        <v>57</v>
      </c>
      <c r="G58" t="s">
        <v>57</v>
      </c>
      <c r="H58" t="s">
        <v>154</v>
      </c>
      <c r="I58">
        <v>0</v>
      </c>
      <c r="J58">
        <v>0</v>
      </c>
      <c r="K58" t="s">
        <v>145</v>
      </c>
      <c r="L58" t="s">
        <v>167</v>
      </c>
    </row>
    <row r="59" spans="1:12" x14ac:dyDescent="0.3">
      <c r="A59" t="s">
        <v>16</v>
      </c>
      <c r="B59">
        <f>VLOOKUP($A59,Save!$A:$F,4,FALSE)</f>
        <v>216</v>
      </c>
      <c r="C59">
        <f>VLOOKUP($A59,Save!$A:$F,2,FALSE)</f>
        <v>1540625</v>
      </c>
      <c r="D59">
        <f>VLOOKUP($A59,Save!$A:$F,3,FALSE)</f>
        <v>1571</v>
      </c>
      <c r="E59">
        <v>2008</v>
      </c>
      <c r="F59" t="s">
        <v>17</v>
      </c>
      <c r="G59" t="s">
        <v>17</v>
      </c>
      <c r="H59" t="s">
        <v>154</v>
      </c>
      <c r="I59">
        <v>1</v>
      </c>
      <c r="J59">
        <v>1</v>
      </c>
      <c r="K59">
        <v>0</v>
      </c>
    </row>
    <row r="60" spans="1:12" x14ac:dyDescent="0.3">
      <c r="A60" t="s">
        <v>39</v>
      </c>
      <c r="B60">
        <f>VLOOKUP($A60,Save!$A:$F,4,FALSE)</f>
        <v>216</v>
      </c>
      <c r="C60">
        <f>VLOOKUP($A60,Save!$A:$F,2,FALSE)</f>
        <v>62032</v>
      </c>
      <c r="D60">
        <f>VLOOKUP($A60,Save!$A:$F,3,FALSE)</f>
        <v>875</v>
      </c>
      <c r="E60">
        <v>2008</v>
      </c>
      <c r="F60" t="s">
        <v>39</v>
      </c>
      <c r="G60" t="s">
        <v>39</v>
      </c>
      <c r="H60" t="s">
        <v>154</v>
      </c>
      <c r="I60">
        <v>1</v>
      </c>
      <c r="J60">
        <v>1</v>
      </c>
      <c r="K60">
        <v>0</v>
      </c>
    </row>
    <row r="61" spans="1:12" x14ac:dyDescent="0.3">
      <c r="A61" t="s">
        <v>41</v>
      </c>
      <c r="B61">
        <f>VLOOKUP($A61,Save!$A:$F,4,FALSE)</f>
        <v>216</v>
      </c>
      <c r="C61">
        <f>VLOOKUP($A61,Save!$A:$F,2,FALSE)</f>
        <v>177498</v>
      </c>
      <c r="D61">
        <f>VLOOKUP($A61,Save!$A:$F,3,FALSE)</f>
        <v>155</v>
      </c>
      <c r="E61">
        <v>2008</v>
      </c>
      <c r="F61" t="s">
        <v>41</v>
      </c>
      <c r="G61" t="s">
        <v>41</v>
      </c>
      <c r="H61" t="s">
        <v>154</v>
      </c>
      <c r="I61">
        <v>1</v>
      </c>
      <c r="J61">
        <v>1</v>
      </c>
      <c r="K61">
        <v>0</v>
      </c>
    </row>
    <row r="62" spans="1:12" hidden="1" x14ac:dyDescent="0.3">
      <c r="A62" t="s">
        <v>59</v>
      </c>
      <c r="B62" t="e">
        <f>VLOOKUP($A62,Save!$A:$F,4,FALSE)</f>
        <v>#N/A</v>
      </c>
      <c r="C62" t="e">
        <f>VLOOKUP($A62,Save!$A:$F,2,FALSE)</f>
        <v>#N/A</v>
      </c>
      <c r="D62" t="e">
        <f>VLOOKUP($A62,Save!$A:$F,3,FALSE)</f>
        <v>#N/A</v>
      </c>
      <c r="E62">
        <v>2008</v>
      </c>
      <c r="F62" t="s">
        <v>87</v>
      </c>
      <c r="G62" t="s">
        <v>86</v>
      </c>
      <c r="H62" t="s">
        <v>155</v>
      </c>
      <c r="I62">
        <v>0</v>
      </c>
      <c r="J62">
        <v>0</v>
      </c>
      <c r="K62" t="s">
        <v>144</v>
      </c>
    </row>
    <row r="63" spans="1:12" x14ac:dyDescent="0.3">
      <c r="A63" t="s">
        <v>45</v>
      </c>
      <c r="B63">
        <f>VLOOKUP($A63,Save!$A:$F,4,FALSE)</f>
        <v>216</v>
      </c>
      <c r="C63">
        <f>VLOOKUP($A63,Save!$A:$F,2,FALSE)</f>
        <v>54574</v>
      </c>
      <c r="D63">
        <f>VLOOKUP($A63,Save!$A:$F,3,FALSE)</f>
        <v>1091</v>
      </c>
      <c r="E63">
        <v>2008</v>
      </c>
      <c r="F63" t="s">
        <v>45</v>
      </c>
      <c r="G63" t="s">
        <v>45</v>
      </c>
      <c r="H63" t="s">
        <v>154</v>
      </c>
      <c r="I63">
        <v>1</v>
      </c>
      <c r="J63">
        <v>1</v>
      </c>
      <c r="K63">
        <v>0</v>
      </c>
    </row>
    <row r="64" spans="1:12" x14ac:dyDescent="0.3">
      <c r="A64" t="s">
        <v>61</v>
      </c>
      <c r="B64">
        <f>VLOOKUP($A64,Save!$A:$F,4,FALSE)</f>
        <v>216</v>
      </c>
      <c r="C64">
        <f>VLOOKUP($A64,Save!$A:$F,2,FALSE)</f>
        <v>135408</v>
      </c>
      <c r="D64">
        <f>VLOOKUP($A64,Save!$A:$F,3,FALSE)</f>
        <v>102</v>
      </c>
      <c r="E64">
        <v>2008</v>
      </c>
      <c r="F64" t="s">
        <v>61</v>
      </c>
      <c r="G64" t="s">
        <v>61</v>
      </c>
      <c r="H64" t="s">
        <v>154</v>
      </c>
      <c r="I64">
        <v>1</v>
      </c>
      <c r="J64">
        <v>1</v>
      </c>
      <c r="K64">
        <v>0</v>
      </c>
    </row>
    <row r="65" spans="1:11" hidden="1" x14ac:dyDescent="0.3">
      <c r="A65" t="s">
        <v>64</v>
      </c>
      <c r="B65" t="e">
        <f>VLOOKUP($A65,Save!$A:$F,4,FALSE)</f>
        <v>#N/A</v>
      </c>
      <c r="C65" t="e">
        <f>VLOOKUP($A65,Save!$A:$F,2,FALSE)</f>
        <v>#N/A</v>
      </c>
      <c r="D65" t="e">
        <f>VLOOKUP($A65,Save!$A:$F,3,FALSE)</f>
        <v>#N/A</v>
      </c>
      <c r="E65">
        <v>2008</v>
      </c>
      <c r="F65" t="s">
        <v>136</v>
      </c>
      <c r="G65" t="s">
        <v>137</v>
      </c>
      <c r="H65" t="s">
        <v>156</v>
      </c>
      <c r="I65">
        <v>0</v>
      </c>
      <c r="J65">
        <v>0</v>
      </c>
      <c r="K65" t="s">
        <v>81</v>
      </c>
    </row>
    <row r="66" spans="1:11" hidden="1" x14ac:dyDescent="0.3">
      <c r="A66" t="s">
        <v>65</v>
      </c>
      <c r="B66" t="e">
        <f>VLOOKUP($A66,Save!$A:$F,4,FALSE)</f>
        <v>#N/A</v>
      </c>
      <c r="C66" t="e">
        <f>VLOOKUP($A66,Save!$A:$F,2,FALSE)</f>
        <v>#N/A</v>
      </c>
      <c r="D66" t="e">
        <f>VLOOKUP($A66,Save!$A:$F,3,FALSE)</f>
        <v>#N/A</v>
      </c>
      <c r="E66">
        <v>2008</v>
      </c>
      <c r="F66" t="s">
        <v>83</v>
      </c>
      <c r="G66" t="s">
        <v>138</v>
      </c>
      <c r="H66" t="s">
        <v>156</v>
      </c>
      <c r="I66">
        <v>0</v>
      </c>
      <c r="J66">
        <v>0</v>
      </c>
      <c r="K66" t="s">
        <v>81</v>
      </c>
    </row>
    <row r="67" spans="1:11" hidden="1" x14ac:dyDescent="0.3">
      <c r="A67" t="s">
        <v>66</v>
      </c>
      <c r="B67" t="e">
        <f>VLOOKUP($A67,Save!$A:$F,4,FALSE)</f>
        <v>#N/A</v>
      </c>
      <c r="C67" t="e">
        <f>VLOOKUP($A67,Save!$A:$F,2,FALSE)</f>
        <v>#N/A</v>
      </c>
      <c r="D67" t="e">
        <f>VLOOKUP($A67,Save!$A:$F,3,FALSE)</f>
        <v>#N/A</v>
      </c>
      <c r="E67">
        <v>2008</v>
      </c>
      <c r="F67" t="s">
        <v>84</v>
      </c>
      <c r="G67" t="s">
        <v>85</v>
      </c>
      <c r="H67" t="s">
        <v>156</v>
      </c>
      <c r="I67">
        <v>0</v>
      </c>
      <c r="J67">
        <v>0</v>
      </c>
      <c r="K67" t="s">
        <v>402</v>
      </c>
    </row>
    <row r="68" spans="1:11" hidden="1" x14ac:dyDescent="0.3">
      <c r="A68" t="s">
        <v>67</v>
      </c>
      <c r="B68" t="e">
        <f>VLOOKUP($A68,Save!$A:$F,4,FALSE)</f>
        <v>#N/A</v>
      </c>
      <c r="C68" t="e">
        <f>VLOOKUP($A68,Save!$A:$F,2,FALSE)</f>
        <v>#N/A</v>
      </c>
      <c r="D68" t="e">
        <f>VLOOKUP($A68,Save!$A:$F,3,FALSE)</f>
        <v>#N/A</v>
      </c>
      <c r="E68">
        <v>2008</v>
      </c>
      <c r="F68" t="s">
        <v>139</v>
      </c>
      <c r="G68" t="s">
        <v>140</v>
      </c>
      <c r="H68" t="s">
        <v>157</v>
      </c>
      <c r="I68">
        <v>0</v>
      </c>
      <c r="J68">
        <v>0</v>
      </c>
      <c r="K68" t="s">
        <v>145</v>
      </c>
    </row>
    <row r="69" spans="1:11" hidden="1" x14ac:dyDescent="0.3">
      <c r="A69" t="s">
        <v>68</v>
      </c>
      <c r="B69" t="e">
        <f>VLOOKUP($A69,Save!$A:$F,4,FALSE)</f>
        <v>#N/A</v>
      </c>
      <c r="C69" t="e">
        <f>VLOOKUP($A69,Save!$A:$F,2,FALSE)</f>
        <v>#N/A</v>
      </c>
      <c r="D69" t="e">
        <f>VLOOKUP($A69,Save!$A:$F,3,FALSE)</f>
        <v>#N/A</v>
      </c>
      <c r="E69">
        <v>2008</v>
      </c>
      <c r="F69" t="s">
        <v>68</v>
      </c>
      <c r="G69" t="s">
        <v>141</v>
      </c>
      <c r="H69" t="s">
        <v>82</v>
      </c>
      <c r="I69">
        <v>0</v>
      </c>
      <c r="J69">
        <v>0</v>
      </c>
      <c r="K69" t="s">
        <v>145</v>
      </c>
    </row>
    <row r="70" spans="1:11" hidden="1" x14ac:dyDescent="0.3">
      <c r="A70" t="s">
        <v>69</v>
      </c>
      <c r="B70">
        <f>VLOOKUP($A70,Save!$A:$F,4,FALSE)</f>
        <v>216</v>
      </c>
      <c r="C70">
        <f>VLOOKUP($A70,Save!$A:$F,2,FALSE)</f>
        <v>233</v>
      </c>
      <c r="D70">
        <f>VLOOKUP($A70,Save!$A:$F,3,FALSE)</f>
        <v>1</v>
      </c>
      <c r="E70">
        <v>2008</v>
      </c>
      <c r="F70" t="s">
        <v>69</v>
      </c>
      <c r="G70" t="s">
        <v>69</v>
      </c>
      <c r="H70" t="s">
        <v>154</v>
      </c>
      <c r="I70">
        <v>1</v>
      </c>
      <c r="J70">
        <v>0</v>
      </c>
      <c r="K70" t="s">
        <v>80</v>
      </c>
    </row>
    <row r="71" spans="1:11" x14ac:dyDescent="0.3">
      <c r="A71" t="s">
        <v>147</v>
      </c>
      <c r="B71">
        <f>VLOOKUP($A71,Save!$A:$F,4,FALSE)</f>
        <v>156</v>
      </c>
      <c r="C71">
        <f>VLOOKUP($A71,Save!$A:$F,2,FALSE)</f>
        <v>5957</v>
      </c>
      <c r="D71">
        <f>VLOOKUP($A71,Save!$A:$F,3,FALSE)</f>
        <v>324</v>
      </c>
      <c r="E71">
        <v>2013</v>
      </c>
      <c r="F71" t="s">
        <v>62</v>
      </c>
      <c r="G71" t="s">
        <v>148</v>
      </c>
      <c r="H71" t="s">
        <v>154</v>
      </c>
      <c r="I71">
        <v>1</v>
      </c>
      <c r="J71">
        <v>1</v>
      </c>
      <c r="K71">
        <v>0</v>
      </c>
    </row>
    <row r="72" spans="1:11" hidden="1" x14ac:dyDescent="0.3">
      <c r="A72" t="s">
        <v>71</v>
      </c>
      <c r="B72" t="e">
        <f>VLOOKUP($A72,Save!$A:$F,4,FALSE)</f>
        <v>#N/A</v>
      </c>
      <c r="C72" t="e">
        <f>VLOOKUP($A72,Save!$A:$F,2,FALSE)</f>
        <v>#N/A</v>
      </c>
      <c r="D72" t="e">
        <f>VLOOKUP($A72,Save!$A:$F,3,FALSE)</f>
        <v>#N/A</v>
      </c>
      <c r="E72">
        <v>2019</v>
      </c>
      <c r="F72" t="s">
        <v>71</v>
      </c>
      <c r="G72" t="s">
        <v>142</v>
      </c>
      <c r="H72" t="s">
        <v>155</v>
      </c>
      <c r="I72">
        <v>0</v>
      </c>
      <c r="J72">
        <v>0</v>
      </c>
      <c r="K72" t="s">
        <v>218</v>
      </c>
    </row>
    <row r="73" spans="1:11" hidden="1" x14ac:dyDescent="0.3">
      <c r="A73" t="s">
        <v>72</v>
      </c>
      <c r="B73">
        <f>VLOOKUP($A73,Save!$A:$F,4,FALSE)</f>
        <v>84</v>
      </c>
      <c r="C73">
        <f>VLOOKUP($A73,Save!$A:$F,2,FALSE)</f>
        <v>2258</v>
      </c>
      <c r="D73">
        <f>VLOOKUP($A73,Save!$A:$F,3,FALSE)</f>
        <v>0</v>
      </c>
      <c r="E73">
        <v>2019</v>
      </c>
      <c r="F73" t="s">
        <v>72</v>
      </c>
      <c r="G73" t="s">
        <v>72</v>
      </c>
      <c r="H73" t="s">
        <v>154</v>
      </c>
      <c r="I73">
        <v>1</v>
      </c>
      <c r="J73">
        <v>0</v>
      </c>
      <c r="K73" t="s">
        <v>143</v>
      </c>
    </row>
  </sheetData>
  <autoFilter ref="A1:L73" xr:uid="{F967238A-8A9D-453B-84D8-7864F7911A3F}">
    <filterColumn colId="9">
      <filters>
        <filter val="1"/>
      </filters>
    </filterColumn>
    <sortState xmlns:xlrd2="http://schemas.microsoft.com/office/spreadsheetml/2017/richdata2" ref="A6:L71">
      <sortCondition ref="H1:H73"/>
    </sortState>
  </autoFilter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39D2E-51D7-483D-A26D-169C365665D8}">
  <dimension ref="A1:B58"/>
  <sheetViews>
    <sheetView topLeftCell="A32" workbookViewId="0">
      <selection activeCell="B19" sqref="B19"/>
    </sheetView>
  </sheetViews>
  <sheetFormatPr defaultRowHeight="14" x14ac:dyDescent="0.3"/>
  <cols>
    <col min="1" max="1" width="35.75" customWidth="1"/>
    <col min="2" max="2" width="42.9140625" customWidth="1"/>
  </cols>
  <sheetData>
    <row r="1" spans="1:2" x14ac:dyDescent="0.3">
      <c r="A1" t="s">
        <v>172</v>
      </c>
      <c r="B1" t="s">
        <v>173</v>
      </c>
    </row>
    <row r="2" spans="1:2" x14ac:dyDescent="0.3">
      <c r="A2" t="s">
        <v>174</v>
      </c>
    </row>
    <row r="3" spans="1:2" x14ac:dyDescent="0.3">
      <c r="A3" t="s">
        <v>175</v>
      </c>
      <c r="B3" t="s">
        <v>113</v>
      </c>
    </row>
    <row r="4" spans="1:2" x14ac:dyDescent="0.3">
      <c r="A4" t="s">
        <v>176</v>
      </c>
      <c r="B4" t="s">
        <v>115</v>
      </c>
    </row>
    <row r="5" spans="1:2" x14ac:dyDescent="0.3">
      <c r="A5" t="s">
        <v>177</v>
      </c>
      <c r="B5" t="s">
        <v>117</v>
      </c>
    </row>
    <row r="6" spans="1:2" x14ac:dyDescent="0.3">
      <c r="A6" t="s">
        <v>178</v>
      </c>
      <c r="B6" t="s">
        <v>119</v>
      </c>
    </row>
    <row r="7" spans="1:2" x14ac:dyDescent="0.3">
      <c r="A7" t="s">
        <v>179</v>
      </c>
      <c r="B7" t="s">
        <v>121</v>
      </c>
    </row>
    <row r="8" spans="1:2" x14ac:dyDescent="0.3">
      <c r="A8" t="s">
        <v>180</v>
      </c>
      <c r="B8" t="s">
        <v>98</v>
      </c>
    </row>
    <row r="9" spans="1:2" x14ac:dyDescent="0.3">
      <c r="A9" t="s">
        <v>181</v>
      </c>
      <c r="B9" t="s">
        <v>107</v>
      </c>
    </row>
    <row r="10" spans="1:2" x14ac:dyDescent="0.3">
      <c r="A10" t="s">
        <v>8</v>
      </c>
      <c r="B10" t="s">
        <v>8</v>
      </c>
    </row>
    <row r="11" spans="1:2" x14ac:dyDescent="0.3">
      <c r="A11" t="s">
        <v>9</v>
      </c>
      <c r="B11" t="s">
        <v>9</v>
      </c>
    </row>
    <row r="12" spans="1:2" x14ac:dyDescent="0.3">
      <c r="A12" t="s">
        <v>182</v>
      </c>
      <c r="B12" t="s">
        <v>11</v>
      </c>
    </row>
    <row r="13" spans="1:2" x14ac:dyDescent="0.3">
      <c r="A13" t="s">
        <v>12</v>
      </c>
      <c r="B13" t="s">
        <v>12</v>
      </c>
    </row>
    <row r="14" spans="1:2" x14ac:dyDescent="0.3">
      <c r="A14" t="s">
        <v>183</v>
      </c>
      <c r="B14" t="s">
        <v>92</v>
      </c>
    </row>
    <row r="15" spans="1:2" x14ac:dyDescent="0.3">
      <c r="A15" t="s">
        <v>184</v>
      </c>
    </row>
    <row r="16" spans="1:2" x14ac:dyDescent="0.3">
      <c r="A16" t="s">
        <v>185</v>
      </c>
    </row>
    <row r="17" spans="1:2" x14ac:dyDescent="0.3">
      <c r="A17" t="s">
        <v>186</v>
      </c>
      <c r="B17" t="s">
        <v>17</v>
      </c>
    </row>
    <row r="18" spans="1:2" x14ac:dyDescent="0.3">
      <c r="A18" t="s">
        <v>187</v>
      </c>
      <c r="B18" t="s">
        <v>17</v>
      </c>
    </row>
    <row r="19" spans="1:2" x14ac:dyDescent="0.3">
      <c r="A19" t="s">
        <v>188</v>
      </c>
      <c r="B19" t="s">
        <v>17</v>
      </c>
    </row>
    <row r="20" spans="1:2" x14ac:dyDescent="0.3">
      <c r="A20" t="s">
        <v>18</v>
      </c>
      <c r="B20" t="s">
        <v>18</v>
      </c>
    </row>
    <row r="21" spans="1:2" x14ac:dyDescent="0.3">
      <c r="A21" t="s">
        <v>162</v>
      </c>
      <c r="B21" t="s">
        <v>162</v>
      </c>
    </row>
    <row r="22" spans="1:2" x14ac:dyDescent="0.3">
      <c r="A22" t="s">
        <v>189</v>
      </c>
    </row>
    <row r="23" spans="1:2" x14ac:dyDescent="0.3">
      <c r="A23" t="s">
        <v>190</v>
      </c>
    </row>
    <row r="24" spans="1:2" x14ac:dyDescent="0.3">
      <c r="A24" t="s">
        <v>191</v>
      </c>
      <c r="B24" t="s">
        <v>26</v>
      </c>
    </row>
    <row r="25" spans="1:2" x14ac:dyDescent="0.3">
      <c r="A25" t="s">
        <v>192</v>
      </c>
      <c r="B25" t="s">
        <v>111</v>
      </c>
    </row>
    <row r="26" spans="1:2" x14ac:dyDescent="0.3">
      <c r="A26" t="s">
        <v>193</v>
      </c>
      <c r="B26" t="s">
        <v>34</v>
      </c>
    </row>
    <row r="27" spans="1:2" x14ac:dyDescent="0.3">
      <c r="A27" t="s">
        <v>194</v>
      </c>
      <c r="B27" t="s">
        <v>217</v>
      </c>
    </row>
    <row r="28" spans="1:2" x14ac:dyDescent="0.3">
      <c r="A28" t="s">
        <v>195</v>
      </c>
    </row>
    <row r="29" spans="1:2" x14ac:dyDescent="0.3">
      <c r="A29" t="s">
        <v>125</v>
      </c>
      <c r="B29" t="s">
        <v>125</v>
      </c>
    </row>
    <row r="30" spans="1:2" x14ac:dyDescent="0.3">
      <c r="A30" t="s">
        <v>38</v>
      </c>
      <c r="B30" t="s">
        <v>38</v>
      </c>
    </row>
    <row r="31" spans="1:2" x14ac:dyDescent="0.3">
      <c r="A31" t="s">
        <v>196</v>
      </c>
      <c r="B31" t="s">
        <v>39</v>
      </c>
    </row>
    <row r="32" spans="1:2" x14ac:dyDescent="0.3">
      <c r="A32" t="s">
        <v>197</v>
      </c>
      <c r="B32" t="s">
        <v>40</v>
      </c>
    </row>
    <row r="33" spans="1:2" x14ac:dyDescent="0.3">
      <c r="A33" t="s">
        <v>198</v>
      </c>
      <c r="B33" t="s">
        <v>22</v>
      </c>
    </row>
    <row r="34" spans="1:2" x14ac:dyDescent="0.3">
      <c r="A34" t="s">
        <v>199</v>
      </c>
    </row>
    <row r="35" spans="1:2" x14ac:dyDescent="0.3">
      <c r="A35" t="s">
        <v>41</v>
      </c>
      <c r="B35" t="s">
        <v>41</v>
      </c>
    </row>
    <row r="36" spans="1:2" x14ac:dyDescent="0.3">
      <c r="A36" t="s">
        <v>42</v>
      </c>
      <c r="B36" t="s">
        <v>42</v>
      </c>
    </row>
    <row r="37" spans="1:2" x14ac:dyDescent="0.3">
      <c r="A37" t="s">
        <v>200</v>
      </c>
    </row>
    <row r="38" spans="1:2" x14ac:dyDescent="0.3">
      <c r="A38" t="s">
        <v>45</v>
      </c>
      <c r="B38" t="s">
        <v>45</v>
      </c>
    </row>
    <row r="39" spans="1:2" x14ac:dyDescent="0.3">
      <c r="A39" t="s">
        <v>47</v>
      </c>
      <c r="B39" t="s">
        <v>47</v>
      </c>
    </row>
    <row r="40" spans="1:2" x14ac:dyDescent="0.3">
      <c r="A40" t="s">
        <v>201</v>
      </c>
    </row>
    <row r="41" spans="1:2" x14ac:dyDescent="0.3">
      <c r="A41" t="s">
        <v>202</v>
      </c>
    </row>
    <row r="42" spans="1:2" x14ac:dyDescent="0.3">
      <c r="A42" t="s">
        <v>203</v>
      </c>
    </row>
    <row r="43" spans="1:2" x14ac:dyDescent="0.3">
      <c r="A43" t="s">
        <v>204</v>
      </c>
      <c r="B43" t="s">
        <v>51</v>
      </c>
    </row>
    <row r="44" spans="1:2" x14ac:dyDescent="0.3">
      <c r="A44" t="s">
        <v>53</v>
      </c>
      <c r="B44" t="s">
        <v>53</v>
      </c>
    </row>
    <row r="45" spans="1:2" x14ac:dyDescent="0.3">
      <c r="A45" t="s">
        <v>54</v>
      </c>
      <c r="B45" t="s">
        <v>54</v>
      </c>
    </row>
    <row r="46" spans="1:2" x14ac:dyDescent="0.3">
      <c r="A46" t="s">
        <v>205</v>
      </c>
    </row>
    <row r="47" spans="1:2" x14ac:dyDescent="0.3">
      <c r="A47" t="s">
        <v>397</v>
      </c>
      <c r="B47" t="s">
        <v>58</v>
      </c>
    </row>
    <row r="48" spans="1:2" x14ac:dyDescent="0.3">
      <c r="A48" t="s">
        <v>206</v>
      </c>
      <c r="B48" t="s">
        <v>60</v>
      </c>
    </row>
    <row r="49" spans="1:2" x14ac:dyDescent="0.3">
      <c r="A49" t="s">
        <v>207</v>
      </c>
      <c r="B49" t="s">
        <v>61</v>
      </c>
    </row>
    <row r="50" spans="1:2" x14ac:dyDescent="0.3">
      <c r="A50" t="s">
        <v>208</v>
      </c>
      <c r="B50" t="s">
        <v>100</v>
      </c>
    </row>
    <row r="51" spans="1:2" x14ac:dyDescent="0.3">
      <c r="A51" t="s">
        <v>209</v>
      </c>
      <c r="B51" t="s">
        <v>210</v>
      </c>
    </row>
    <row r="52" spans="1:2" x14ac:dyDescent="0.3">
      <c r="A52" t="s">
        <v>211</v>
      </c>
      <c r="B52" t="s">
        <v>63</v>
      </c>
    </row>
    <row r="53" spans="1:2" x14ac:dyDescent="0.3">
      <c r="A53" t="s">
        <v>212</v>
      </c>
      <c r="B53" t="s">
        <v>69</v>
      </c>
    </row>
    <row r="54" spans="1:2" x14ac:dyDescent="0.3">
      <c r="A54" t="s">
        <v>213</v>
      </c>
      <c r="B54" t="s">
        <v>70</v>
      </c>
    </row>
    <row r="55" spans="1:2" x14ac:dyDescent="0.3">
      <c r="A55" t="s">
        <v>214</v>
      </c>
      <c r="B55" t="s">
        <v>129</v>
      </c>
    </row>
    <row r="56" spans="1:2" x14ac:dyDescent="0.3">
      <c r="A56" t="s">
        <v>215</v>
      </c>
      <c r="B56" t="s">
        <v>10</v>
      </c>
    </row>
    <row r="57" spans="1:2" x14ac:dyDescent="0.3">
      <c r="A57" t="s">
        <v>216</v>
      </c>
      <c r="B57" t="s">
        <v>72</v>
      </c>
    </row>
    <row r="58" spans="1:2" x14ac:dyDescent="0.3">
      <c r="A58" s="1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5328F-40E7-41DF-B206-AD76199448E3}">
  <dimension ref="A1:D79"/>
  <sheetViews>
    <sheetView workbookViewId="0">
      <selection activeCell="F11" sqref="F11"/>
    </sheetView>
  </sheetViews>
  <sheetFormatPr defaultRowHeight="14" x14ac:dyDescent="0.3"/>
  <cols>
    <col min="1" max="1" width="14.4140625" bestFit="1" customWidth="1"/>
    <col min="2" max="2" width="22.33203125" bestFit="1" customWidth="1"/>
    <col min="3" max="4" width="10.75" bestFit="1" customWidth="1"/>
  </cols>
  <sheetData>
    <row r="1" spans="1:4" x14ac:dyDescent="0.3">
      <c r="A1" t="s">
        <v>219</v>
      </c>
      <c r="B1" t="s">
        <v>220</v>
      </c>
      <c r="C1" t="s">
        <v>221</v>
      </c>
      <c r="D1" t="s">
        <v>222</v>
      </c>
    </row>
    <row r="2" spans="1:4" x14ac:dyDescent="0.3">
      <c r="A2" t="s">
        <v>223</v>
      </c>
      <c r="B2" t="s">
        <v>224</v>
      </c>
      <c r="C2" t="s">
        <v>225</v>
      </c>
      <c r="D2" t="s">
        <v>226</v>
      </c>
    </row>
    <row r="3" spans="1:4" x14ac:dyDescent="0.3">
      <c r="A3" t="s">
        <v>227</v>
      </c>
      <c r="B3" t="s">
        <v>228</v>
      </c>
      <c r="C3" t="s">
        <v>225</v>
      </c>
      <c r="D3" t="s">
        <v>226</v>
      </c>
    </row>
    <row r="4" spans="1:4" x14ac:dyDescent="0.3">
      <c r="A4" t="s">
        <v>229</v>
      </c>
      <c r="B4" t="s">
        <v>230</v>
      </c>
      <c r="C4" t="s">
        <v>225</v>
      </c>
      <c r="D4" t="s">
        <v>226</v>
      </c>
    </row>
    <row r="5" spans="1:4" x14ac:dyDescent="0.3">
      <c r="A5" t="s">
        <v>231</v>
      </c>
      <c r="B5" t="s">
        <v>232</v>
      </c>
      <c r="C5" t="s">
        <v>225</v>
      </c>
      <c r="D5" t="s">
        <v>226</v>
      </c>
    </row>
    <row r="6" spans="1:4" x14ac:dyDescent="0.3">
      <c r="A6" t="s">
        <v>233</v>
      </c>
      <c r="B6" t="s">
        <v>234</v>
      </c>
      <c r="C6" t="s">
        <v>225</v>
      </c>
      <c r="D6" t="s">
        <v>226</v>
      </c>
    </row>
    <row r="7" spans="1:4" x14ac:dyDescent="0.3">
      <c r="A7" t="s">
        <v>235</v>
      </c>
      <c r="B7" t="s">
        <v>236</v>
      </c>
      <c r="C7" t="s">
        <v>225</v>
      </c>
      <c r="D7" t="s">
        <v>226</v>
      </c>
    </row>
    <row r="8" spans="1:4" x14ac:dyDescent="0.3">
      <c r="A8" t="s">
        <v>237</v>
      </c>
      <c r="B8" t="s">
        <v>238</v>
      </c>
      <c r="C8" t="s">
        <v>225</v>
      </c>
      <c r="D8" t="s">
        <v>226</v>
      </c>
    </row>
    <row r="9" spans="1:4" x14ac:dyDescent="0.3">
      <c r="A9" t="s">
        <v>239</v>
      </c>
      <c r="B9" t="s">
        <v>240</v>
      </c>
      <c r="C9" t="s">
        <v>225</v>
      </c>
      <c r="D9" t="s">
        <v>226</v>
      </c>
    </row>
    <row r="10" spans="1:4" x14ac:dyDescent="0.3">
      <c r="A10" t="s">
        <v>241</v>
      </c>
      <c r="B10" t="s">
        <v>242</v>
      </c>
      <c r="C10" t="s">
        <v>243</v>
      </c>
      <c r="D10" t="s">
        <v>226</v>
      </c>
    </row>
    <row r="11" spans="1:4" x14ac:dyDescent="0.3">
      <c r="A11" t="s">
        <v>244</v>
      </c>
      <c r="B11" t="s">
        <v>245</v>
      </c>
      <c r="C11" t="s">
        <v>243</v>
      </c>
      <c r="D11" t="s">
        <v>226</v>
      </c>
    </row>
    <row r="12" spans="1:4" x14ac:dyDescent="0.3">
      <c r="A12" t="s">
        <v>246</v>
      </c>
      <c r="B12" t="s">
        <v>247</v>
      </c>
      <c r="C12" t="s">
        <v>243</v>
      </c>
      <c r="D12" t="s">
        <v>226</v>
      </c>
    </row>
    <row r="13" spans="1:4" x14ac:dyDescent="0.3">
      <c r="A13" t="s">
        <v>248</v>
      </c>
      <c r="B13" t="s">
        <v>249</v>
      </c>
      <c r="C13" t="s">
        <v>243</v>
      </c>
      <c r="D13" t="s">
        <v>226</v>
      </c>
    </row>
    <row r="14" spans="1:4" x14ac:dyDescent="0.3">
      <c r="A14" t="s">
        <v>250</v>
      </c>
      <c r="B14" t="s">
        <v>251</v>
      </c>
      <c r="C14" t="s">
        <v>243</v>
      </c>
      <c r="D14" t="s">
        <v>226</v>
      </c>
    </row>
    <row r="15" spans="1:4" x14ac:dyDescent="0.3">
      <c r="A15" t="s">
        <v>252</v>
      </c>
      <c r="B15" t="s">
        <v>253</v>
      </c>
      <c r="C15" t="s">
        <v>254</v>
      </c>
      <c r="D15" t="s">
        <v>255</v>
      </c>
    </row>
    <row r="16" spans="1:4" x14ac:dyDescent="0.3">
      <c r="A16" t="s">
        <v>256</v>
      </c>
      <c r="B16" t="s">
        <v>257</v>
      </c>
      <c r="C16" t="s">
        <v>254</v>
      </c>
      <c r="D16" t="s">
        <v>255</v>
      </c>
    </row>
    <row r="17" spans="1:4" x14ac:dyDescent="0.3">
      <c r="A17" t="s">
        <v>258</v>
      </c>
      <c r="B17" t="s">
        <v>259</v>
      </c>
      <c r="C17" t="s">
        <v>254</v>
      </c>
      <c r="D17" t="s">
        <v>255</v>
      </c>
    </row>
    <row r="18" spans="1:4" x14ac:dyDescent="0.3">
      <c r="A18" t="s">
        <v>260</v>
      </c>
      <c r="B18" t="s">
        <v>261</v>
      </c>
      <c r="C18" t="s">
        <v>254</v>
      </c>
      <c r="D18" t="s">
        <v>255</v>
      </c>
    </row>
    <row r="19" spans="1:4" x14ac:dyDescent="0.3">
      <c r="A19" t="s">
        <v>262</v>
      </c>
      <c r="B19" t="s">
        <v>263</v>
      </c>
      <c r="C19" t="s">
        <v>254</v>
      </c>
      <c r="D19" t="s">
        <v>255</v>
      </c>
    </row>
    <row r="20" spans="1:4" x14ac:dyDescent="0.3">
      <c r="A20" t="s">
        <v>264</v>
      </c>
      <c r="B20" t="s">
        <v>265</v>
      </c>
      <c r="C20" t="s">
        <v>266</v>
      </c>
      <c r="D20" t="s">
        <v>255</v>
      </c>
    </row>
    <row r="21" spans="1:4" x14ac:dyDescent="0.3">
      <c r="A21" t="s">
        <v>267</v>
      </c>
      <c r="B21" t="s">
        <v>268</v>
      </c>
      <c r="C21" t="s">
        <v>266</v>
      </c>
      <c r="D21" t="s">
        <v>255</v>
      </c>
    </row>
    <row r="22" spans="1:4" x14ac:dyDescent="0.3">
      <c r="A22" t="s">
        <v>269</v>
      </c>
      <c r="B22" t="s">
        <v>270</v>
      </c>
      <c r="C22" t="s">
        <v>266</v>
      </c>
      <c r="D22" t="s">
        <v>255</v>
      </c>
    </row>
    <row r="23" spans="1:4" x14ac:dyDescent="0.3">
      <c r="A23" t="s">
        <v>271</v>
      </c>
      <c r="B23" t="s">
        <v>272</v>
      </c>
      <c r="C23" t="s">
        <v>266</v>
      </c>
      <c r="D23" t="s">
        <v>255</v>
      </c>
    </row>
    <row r="24" spans="1:4" x14ac:dyDescent="0.3">
      <c r="A24" t="s">
        <v>273</v>
      </c>
      <c r="B24" t="s">
        <v>274</v>
      </c>
      <c r="C24" t="s">
        <v>266</v>
      </c>
      <c r="D24" t="s">
        <v>255</v>
      </c>
    </row>
    <row r="25" spans="1:4" x14ac:dyDescent="0.3">
      <c r="A25" t="s">
        <v>275</v>
      </c>
      <c r="B25" t="s">
        <v>276</v>
      </c>
      <c r="C25" t="s">
        <v>266</v>
      </c>
      <c r="D25" t="s">
        <v>255</v>
      </c>
    </row>
    <row r="26" spans="1:4" x14ac:dyDescent="0.3">
      <c r="A26" t="s">
        <v>277</v>
      </c>
      <c r="B26" t="s">
        <v>278</v>
      </c>
      <c r="C26" t="s">
        <v>266</v>
      </c>
      <c r="D26" t="s">
        <v>255</v>
      </c>
    </row>
    <row r="27" spans="1:4" x14ac:dyDescent="0.3">
      <c r="A27" t="s">
        <v>279</v>
      </c>
      <c r="B27" t="s">
        <v>280</v>
      </c>
      <c r="C27" t="s">
        <v>266</v>
      </c>
      <c r="D27" t="s">
        <v>255</v>
      </c>
    </row>
    <row r="28" spans="1:4" x14ac:dyDescent="0.3">
      <c r="A28" t="s">
        <v>281</v>
      </c>
      <c r="B28" t="s">
        <v>282</v>
      </c>
      <c r="C28" t="s">
        <v>283</v>
      </c>
      <c r="D28" t="s">
        <v>255</v>
      </c>
    </row>
    <row r="29" spans="1:4" x14ac:dyDescent="0.3">
      <c r="A29" t="s">
        <v>284</v>
      </c>
      <c r="B29" t="s">
        <v>285</v>
      </c>
      <c r="C29" t="s">
        <v>283</v>
      </c>
      <c r="D29" t="s">
        <v>255</v>
      </c>
    </row>
    <row r="30" spans="1:4" x14ac:dyDescent="0.3">
      <c r="A30" t="s">
        <v>286</v>
      </c>
      <c r="B30" t="s">
        <v>287</v>
      </c>
      <c r="C30" t="s">
        <v>283</v>
      </c>
      <c r="D30" t="s">
        <v>255</v>
      </c>
    </row>
    <row r="31" spans="1:4" x14ac:dyDescent="0.3">
      <c r="A31" t="s">
        <v>288</v>
      </c>
      <c r="B31" t="s">
        <v>289</v>
      </c>
      <c r="C31" t="s">
        <v>283</v>
      </c>
      <c r="D31" t="s">
        <v>255</v>
      </c>
    </row>
    <row r="32" spans="1:4" x14ac:dyDescent="0.3">
      <c r="A32" t="s">
        <v>290</v>
      </c>
      <c r="B32" t="s">
        <v>291</v>
      </c>
      <c r="C32" t="s">
        <v>283</v>
      </c>
      <c r="D32" t="s">
        <v>255</v>
      </c>
    </row>
    <row r="33" spans="1:4" x14ac:dyDescent="0.3">
      <c r="A33" t="s">
        <v>292</v>
      </c>
      <c r="B33" t="s">
        <v>293</v>
      </c>
      <c r="C33" t="s">
        <v>283</v>
      </c>
      <c r="D33" t="s">
        <v>255</v>
      </c>
    </row>
    <row r="34" spans="1:4" x14ac:dyDescent="0.3">
      <c r="A34" t="s">
        <v>294</v>
      </c>
      <c r="B34" t="s">
        <v>295</v>
      </c>
      <c r="C34" t="s">
        <v>283</v>
      </c>
      <c r="D34" t="s">
        <v>255</v>
      </c>
    </row>
    <row r="35" spans="1:4" x14ac:dyDescent="0.3">
      <c r="A35" t="s">
        <v>296</v>
      </c>
      <c r="B35" t="s">
        <v>297</v>
      </c>
      <c r="C35" t="s">
        <v>283</v>
      </c>
      <c r="D35" t="s">
        <v>255</v>
      </c>
    </row>
    <row r="36" spans="1:4" x14ac:dyDescent="0.3">
      <c r="A36" t="s">
        <v>298</v>
      </c>
      <c r="B36" t="s">
        <v>299</v>
      </c>
      <c r="C36" t="s">
        <v>300</v>
      </c>
      <c r="D36" t="s">
        <v>255</v>
      </c>
    </row>
    <row r="37" spans="1:4" x14ac:dyDescent="0.3">
      <c r="A37" t="s">
        <v>301</v>
      </c>
      <c r="B37" t="s">
        <v>302</v>
      </c>
      <c r="C37" t="s">
        <v>300</v>
      </c>
      <c r="D37" t="s">
        <v>255</v>
      </c>
    </row>
    <row r="38" spans="1:4" x14ac:dyDescent="0.3">
      <c r="A38" t="s">
        <v>303</v>
      </c>
      <c r="B38" t="s">
        <v>304</v>
      </c>
      <c r="C38" t="s">
        <v>300</v>
      </c>
      <c r="D38" t="s">
        <v>255</v>
      </c>
    </row>
    <row r="39" spans="1:4" x14ac:dyDescent="0.3">
      <c r="A39" t="s">
        <v>305</v>
      </c>
      <c r="B39" t="s">
        <v>306</v>
      </c>
      <c r="C39" t="s">
        <v>300</v>
      </c>
      <c r="D39" t="s">
        <v>255</v>
      </c>
    </row>
    <row r="40" spans="1:4" x14ac:dyDescent="0.3">
      <c r="A40" t="s">
        <v>307</v>
      </c>
      <c r="B40" t="s">
        <v>308</v>
      </c>
      <c r="C40" t="s">
        <v>300</v>
      </c>
      <c r="D40" t="s">
        <v>255</v>
      </c>
    </row>
    <row r="41" spans="1:4" x14ac:dyDescent="0.3">
      <c r="A41" t="s">
        <v>309</v>
      </c>
      <c r="B41" t="s">
        <v>310</v>
      </c>
      <c r="C41" t="s">
        <v>300</v>
      </c>
      <c r="D41" t="s">
        <v>255</v>
      </c>
    </row>
    <row r="42" spans="1:4" x14ac:dyDescent="0.3">
      <c r="A42" t="s">
        <v>311</v>
      </c>
      <c r="B42" t="s">
        <v>312</v>
      </c>
      <c r="C42" t="s">
        <v>300</v>
      </c>
      <c r="D42" t="s">
        <v>255</v>
      </c>
    </row>
    <row r="43" spans="1:4" x14ac:dyDescent="0.3">
      <c r="A43" t="s">
        <v>313</v>
      </c>
      <c r="B43" t="s">
        <v>314</v>
      </c>
      <c r="C43" t="s">
        <v>300</v>
      </c>
      <c r="D43" t="s">
        <v>255</v>
      </c>
    </row>
    <row r="44" spans="1:4" x14ac:dyDescent="0.3">
      <c r="A44" t="s">
        <v>315</v>
      </c>
      <c r="B44" t="s">
        <v>316</v>
      </c>
      <c r="C44" t="s">
        <v>317</v>
      </c>
      <c r="D44" t="s">
        <v>318</v>
      </c>
    </row>
    <row r="45" spans="1:4" x14ac:dyDescent="0.3">
      <c r="A45" t="s">
        <v>319</v>
      </c>
      <c r="B45" t="s">
        <v>320</v>
      </c>
      <c r="C45" t="s">
        <v>317</v>
      </c>
      <c r="D45" t="s">
        <v>318</v>
      </c>
    </row>
    <row r="46" spans="1:4" x14ac:dyDescent="0.3">
      <c r="A46" t="s">
        <v>321</v>
      </c>
      <c r="B46" t="s">
        <v>322</v>
      </c>
      <c r="C46" t="s">
        <v>317</v>
      </c>
      <c r="D46" t="s">
        <v>318</v>
      </c>
    </row>
    <row r="47" spans="1:4" x14ac:dyDescent="0.3">
      <c r="A47" t="s">
        <v>323</v>
      </c>
      <c r="B47" t="s">
        <v>324</v>
      </c>
      <c r="C47" t="s">
        <v>317</v>
      </c>
      <c r="D47" t="s">
        <v>318</v>
      </c>
    </row>
    <row r="48" spans="1:4" x14ac:dyDescent="0.3">
      <c r="A48" t="s">
        <v>325</v>
      </c>
      <c r="B48" t="s">
        <v>326</v>
      </c>
      <c r="C48" t="s">
        <v>327</v>
      </c>
      <c r="D48" t="s">
        <v>318</v>
      </c>
    </row>
    <row r="49" spans="1:4" x14ac:dyDescent="0.3">
      <c r="A49" t="s">
        <v>328</v>
      </c>
      <c r="B49" t="s">
        <v>329</v>
      </c>
      <c r="C49" t="s">
        <v>327</v>
      </c>
      <c r="D49" t="s">
        <v>318</v>
      </c>
    </row>
    <row r="50" spans="1:4" x14ac:dyDescent="0.3">
      <c r="A50" t="s">
        <v>330</v>
      </c>
      <c r="B50" t="s">
        <v>331</v>
      </c>
      <c r="C50" t="s">
        <v>327</v>
      </c>
      <c r="D50" t="s">
        <v>318</v>
      </c>
    </row>
    <row r="51" spans="1:4" x14ac:dyDescent="0.3">
      <c r="A51" t="s">
        <v>332</v>
      </c>
      <c r="B51" t="s">
        <v>333</v>
      </c>
      <c r="C51" t="s">
        <v>327</v>
      </c>
      <c r="D51" t="s">
        <v>318</v>
      </c>
    </row>
    <row r="52" spans="1:4" x14ac:dyDescent="0.3">
      <c r="A52" t="s">
        <v>334</v>
      </c>
      <c r="B52" t="s">
        <v>335</v>
      </c>
      <c r="C52" t="s">
        <v>327</v>
      </c>
      <c r="D52" t="s">
        <v>318</v>
      </c>
    </row>
    <row r="53" spans="1:4" x14ac:dyDescent="0.3">
      <c r="A53" t="s">
        <v>336</v>
      </c>
      <c r="B53" t="s">
        <v>337</v>
      </c>
      <c r="C53" t="s">
        <v>327</v>
      </c>
      <c r="D53" t="s">
        <v>318</v>
      </c>
    </row>
    <row r="54" spans="1:4" x14ac:dyDescent="0.3">
      <c r="A54" t="s">
        <v>338</v>
      </c>
      <c r="B54" t="s">
        <v>339</v>
      </c>
      <c r="C54" t="s">
        <v>327</v>
      </c>
      <c r="D54" t="s">
        <v>318</v>
      </c>
    </row>
    <row r="55" spans="1:4" x14ac:dyDescent="0.3">
      <c r="A55" t="s">
        <v>340</v>
      </c>
      <c r="B55" t="s">
        <v>341</v>
      </c>
      <c r="C55" t="s">
        <v>342</v>
      </c>
      <c r="D55" t="s">
        <v>318</v>
      </c>
    </row>
    <row r="56" spans="1:4" x14ac:dyDescent="0.3">
      <c r="A56" t="s">
        <v>343</v>
      </c>
      <c r="B56" t="s">
        <v>344</v>
      </c>
      <c r="C56" t="s">
        <v>342</v>
      </c>
      <c r="D56" t="s">
        <v>318</v>
      </c>
    </row>
    <row r="57" spans="1:4" x14ac:dyDescent="0.3">
      <c r="A57" t="s">
        <v>345</v>
      </c>
      <c r="B57" t="s">
        <v>346</v>
      </c>
      <c r="C57" t="s">
        <v>342</v>
      </c>
      <c r="D57" t="s">
        <v>318</v>
      </c>
    </row>
    <row r="58" spans="1:4" x14ac:dyDescent="0.3">
      <c r="A58" t="s">
        <v>347</v>
      </c>
      <c r="B58" t="s">
        <v>348</v>
      </c>
      <c r="C58" t="s">
        <v>342</v>
      </c>
      <c r="D58" t="s">
        <v>318</v>
      </c>
    </row>
    <row r="59" spans="1:4" x14ac:dyDescent="0.3">
      <c r="A59" t="s">
        <v>349</v>
      </c>
      <c r="B59" t="s">
        <v>350</v>
      </c>
      <c r="C59" t="s">
        <v>351</v>
      </c>
      <c r="D59" t="s">
        <v>318</v>
      </c>
    </row>
    <row r="60" spans="1:4" x14ac:dyDescent="0.3">
      <c r="A60" t="s">
        <v>352</v>
      </c>
      <c r="B60" t="s">
        <v>353</v>
      </c>
      <c r="C60" t="s">
        <v>351</v>
      </c>
      <c r="D60" t="s">
        <v>318</v>
      </c>
    </row>
    <row r="61" spans="1:4" x14ac:dyDescent="0.3">
      <c r="A61" t="s">
        <v>354</v>
      </c>
      <c r="B61" t="s">
        <v>355</v>
      </c>
      <c r="C61" t="s">
        <v>351</v>
      </c>
      <c r="D61" t="s">
        <v>318</v>
      </c>
    </row>
    <row r="62" spans="1:4" x14ac:dyDescent="0.3">
      <c r="A62" t="s">
        <v>356</v>
      </c>
      <c r="B62" t="s">
        <v>357</v>
      </c>
      <c r="C62" t="s">
        <v>351</v>
      </c>
      <c r="D62" t="s">
        <v>318</v>
      </c>
    </row>
    <row r="63" spans="1:4" x14ac:dyDescent="0.3">
      <c r="A63" t="s">
        <v>358</v>
      </c>
      <c r="B63" t="s">
        <v>359</v>
      </c>
      <c r="C63" t="s">
        <v>351</v>
      </c>
      <c r="D63" t="s">
        <v>318</v>
      </c>
    </row>
    <row r="64" spans="1:4" x14ac:dyDescent="0.3">
      <c r="A64" t="s">
        <v>360</v>
      </c>
      <c r="B64" t="s">
        <v>361</v>
      </c>
      <c r="C64" t="s">
        <v>362</v>
      </c>
      <c r="D64" t="s">
        <v>363</v>
      </c>
    </row>
    <row r="65" spans="1:4" x14ac:dyDescent="0.3">
      <c r="A65" t="s">
        <v>364</v>
      </c>
      <c r="B65" t="s">
        <v>365</v>
      </c>
      <c r="C65" t="s">
        <v>362</v>
      </c>
      <c r="D65" t="s">
        <v>363</v>
      </c>
    </row>
    <row r="66" spans="1:4" x14ac:dyDescent="0.3">
      <c r="A66" t="s">
        <v>366</v>
      </c>
      <c r="B66" t="s">
        <v>367</v>
      </c>
      <c r="C66" t="s">
        <v>362</v>
      </c>
      <c r="D66" t="s">
        <v>363</v>
      </c>
    </row>
    <row r="67" spans="1:4" x14ac:dyDescent="0.3">
      <c r="A67" t="s">
        <v>368</v>
      </c>
      <c r="B67" t="s">
        <v>369</v>
      </c>
      <c r="C67" t="s">
        <v>362</v>
      </c>
      <c r="D67" t="s">
        <v>363</v>
      </c>
    </row>
    <row r="68" spans="1:4" x14ac:dyDescent="0.3">
      <c r="A68" t="s">
        <v>370</v>
      </c>
      <c r="B68" t="s">
        <v>371</v>
      </c>
      <c r="C68" t="s">
        <v>362</v>
      </c>
      <c r="D68" t="s">
        <v>363</v>
      </c>
    </row>
    <row r="69" spans="1:4" x14ac:dyDescent="0.3">
      <c r="A69" t="s">
        <v>372</v>
      </c>
      <c r="B69" t="s">
        <v>373</v>
      </c>
      <c r="C69" t="s">
        <v>362</v>
      </c>
      <c r="D69" t="s">
        <v>363</v>
      </c>
    </row>
    <row r="70" spans="1:4" x14ac:dyDescent="0.3">
      <c r="A70" t="s">
        <v>374</v>
      </c>
      <c r="B70" t="s">
        <v>375</v>
      </c>
      <c r="C70" t="s">
        <v>362</v>
      </c>
      <c r="D70" t="s">
        <v>363</v>
      </c>
    </row>
    <row r="71" spans="1:4" x14ac:dyDescent="0.3">
      <c r="A71" t="s">
        <v>376</v>
      </c>
      <c r="B71" t="s">
        <v>377</v>
      </c>
      <c r="C71" t="s">
        <v>378</v>
      </c>
      <c r="D71" t="s">
        <v>363</v>
      </c>
    </row>
    <row r="72" spans="1:4" x14ac:dyDescent="0.3">
      <c r="A72" t="s">
        <v>379</v>
      </c>
      <c r="B72" t="s">
        <v>380</v>
      </c>
      <c r="C72" t="s">
        <v>378</v>
      </c>
      <c r="D72" t="s">
        <v>363</v>
      </c>
    </row>
    <row r="73" spans="1:4" x14ac:dyDescent="0.3">
      <c r="A73" t="s">
        <v>381</v>
      </c>
      <c r="B73" t="s">
        <v>382</v>
      </c>
      <c r="C73" t="s">
        <v>378</v>
      </c>
      <c r="D73" t="s">
        <v>363</v>
      </c>
    </row>
    <row r="74" spans="1:4" x14ac:dyDescent="0.3">
      <c r="A74" t="s">
        <v>383</v>
      </c>
      <c r="B74" t="s">
        <v>384</v>
      </c>
      <c r="C74" t="s">
        <v>378</v>
      </c>
      <c r="D74" t="s">
        <v>363</v>
      </c>
    </row>
    <row r="75" spans="1:4" x14ac:dyDescent="0.3">
      <c r="A75" t="s">
        <v>385</v>
      </c>
      <c r="B75" t="s">
        <v>386</v>
      </c>
      <c r="C75" t="s">
        <v>378</v>
      </c>
      <c r="D75" t="s">
        <v>363</v>
      </c>
    </row>
    <row r="76" spans="1:4" x14ac:dyDescent="0.3">
      <c r="A76" t="s">
        <v>387</v>
      </c>
      <c r="B76" t="s">
        <v>388</v>
      </c>
      <c r="C76" t="s">
        <v>378</v>
      </c>
      <c r="D76" t="s">
        <v>363</v>
      </c>
    </row>
    <row r="77" spans="1:4" x14ac:dyDescent="0.3">
      <c r="A77" t="s">
        <v>389</v>
      </c>
      <c r="B77" t="s">
        <v>390</v>
      </c>
      <c r="C77" t="s">
        <v>378</v>
      </c>
      <c r="D77" t="s">
        <v>363</v>
      </c>
    </row>
    <row r="78" spans="1:4" x14ac:dyDescent="0.3">
      <c r="A78" t="s">
        <v>391</v>
      </c>
      <c r="B78" t="s">
        <v>392</v>
      </c>
      <c r="C78" t="s">
        <v>393</v>
      </c>
      <c r="D78" t="s">
        <v>255</v>
      </c>
    </row>
    <row r="79" spans="1:4" x14ac:dyDescent="0.3">
      <c r="A79" t="s">
        <v>394</v>
      </c>
      <c r="B79" t="s">
        <v>395</v>
      </c>
      <c r="C79" t="s">
        <v>396</v>
      </c>
      <c r="D79" t="s">
        <v>396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403A-238B-48D2-8FF6-33B186E23E7D}">
  <dimension ref="A1:F43"/>
  <sheetViews>
    <sheetView workbookViewId="0">
      <selection activeCell="J19" sqref="J19"/>
    </sheetView>
  </sheetViews>
  <sheetFormatPr defaultRowHeight="14" x14ac:dyDescent="0.3"/>
  <sheetData>
    <row r="1" spans="1:6" x14ac:dyDescent="0.3">
      <c r="A1" t="s">
        <v>0</v>
      </c>
      <c r="B1" t="s">
        <v>1</v>
      </c>
      <c r="C1" t="s">
        <v>398</v>
      </c>
      <c r="D1" t="s">
        <v>2</v>
      </c>
      <c r="E1" t="s">
        <v>3</v>
      </c>
      <c r="F1" t="s">
        <v>4</v>
      </c>
    </row>
    <row r="2" spans="1:6" x14ac:dyDescent="0.3">
      <c r="A2" t="s">
        <v>8</v>
      </c>
      <c r="B2">
        <v>126</v>
      </c>
      <c r="C2">
        <v>1</v>
      </c>
      <c r="D2">
        <v>144</v>
      </c>
      <c r="E2">
        <v>2013</v>
      </c>
      <c r="F2">
        <v>2025</v>
      </c>
    </row>
    <row r="3" spans="1:6" x14ac:dyDescent="0.3">
      <c r="A3" t="s">
        <v>9</v>
      </c>
      <c r="B3">
        <v>18596</v>
      </c>
      <c r="C3">
        <v>0</v>
      </c>
      <c r="D3">
        <v>216</v>
      </c>
      <c r="E3">
        <v>2008</v>
      </c>
      <c r="F3">
        <v>2025</v>
      </c>
    </row>
    <row r="4" spans="1:6" x14ac:dyDescent="0.3">
      <c r="A4" t="s">
        <v>10</v>
      </c>
      <c r="B4">
        <v>907656</v>
      </c>
      <c r="C4">
        <v>17</v>
      </c>
      <c r="D4">
        <v>216</v>
      </c>
      <c r="E4">
        <v>2008</v>
      </c>
      <c r="F4">
        <v>2025</v>
      </c>
    </row>
    <row r="5" spans="1:6" x14ac:dyDescent="0.3">
      <c r="A5" t="s">
        <v>11</v>
      </c>
      <c r="B5">
        <v>90350</v>
      </c>
      <c r="C5">
        <v>1</v>
      </c>
      <c r="D5">
        <v>216</v>
      </c>
      <c r="E5">
        <v>2008</v>
      </c>
      <c r="F5">
        <v>2025</v>
      </c>
    </row>
    <row r="6" spans="1:6" x14ac:dyDescent="0.3">
      <c r="A6" t="s">
        <v>12</v>
      </c>
      <c r="B6">
        <v>2761</v>
      </c>
      <c r="C6">
        <v>28</v>
      </c>
      <c r="D6">
        <v>216</v>
      </c>
      <c r="E6">
        <v>2008</v>
      </c>
      <c r="F6">
        <v>2025</v>
      </c>
    </row>
    <row r="7" spans="1:6" x14ac:dyDescent="0.3">
      <c r="A7" t="s">
        <v>13</v>
      </c>
      <c r="B7">
        <v>68761</v>
      </c>
      <c r="C7">
        <v>0</v>
      </c>
      <c r="D7">
        <v>216</v>
      </c>
      <c r="E7">
        <v>2008</v>
      </c>
      <c r="F7">
        <v>2025</v>
      </c>
    </row>
    <row r="8" spans="1:6" x14ac:dyDescent="0.3">
      <c r="A8" t="s">
        <v>16</v>
      </c>
      <c r="B8">
        <v>1540625</v>
      </c>
      <c r="C8">
        <v>1571</v>
      </c>
      <c r="D8">
        <v>216</v>
      </c>
      <c r="E8">
        <v>2008</v>
      </c>
      <c r="F8">
        <v>2025</v>
      </c>
    </row>
    <row r="9" spans="1:6" x14ac:dyDescent="0.3">
      <c r="A9" t="s">
        <v>18</v>
      </c>
      <c r="B9">
        <v>351</v>
      </c>
      <c r="C9">
        <v>78</v>
      </c>
      <c r="D9">
        <v>216</v>
      </c>
      <c r="E9">
        <v>2008</v>
      </c>
      <c r="F9">
        <v>2025</v>
      </c>
    </row>
    <row r="10" spans="1:6" x14ac:dyDescent="0.3">
      <c r="A10" t="s">
        <v>19</v>
      </c>
      <c r="B10">
        <v>43005</v>
      </c>
      <c r="C10">
        <v>4</v>
      </c>
      <c r="D10">
        <v>216</v>
      </c>
      <c r="E10">
        <v>2008</v>
      </c>
      <c r="F10">
        <v>2025</v>
      </c>
    </row>
    <row r="11" spans="1:6" x14ac:dyDescent="0.3">
      <c r="A11" t="s">
        <v>20</v>
      </c>
      <c r="B11">
        <v>36363</v>
      </c>
      <c r="C11">
        <v>1</v>
      </c>
      <c r="D11">
        <v>216</v>
      </c>
      <c r="E11">
        <v>2008</v>
      </c>
      <c r="F11">
        <v>2025</v>
      </c>
    </row>
    <row r="12" spans="1:6" x14ac:dyDescent="0.3">
      <c r="A12" t="s">
        <v>399</v>
      </c>
      <c r="B12">
        <v>14155</v>
      </c>
      <c r="C12">
        <v>210</v>
      </c>
      <c r="D12">
        <v>216</v>
      </c>
      <c r="E12">
        <v>2008</v>
      </c>
      <c r="F12">
        <v>2025</v>
      </c>
    </row>
    <row r="13" spans="1:6" x14ac:dyDescent="0.3">
      <c r="A13" t="s">
        <v>22</v>
      </c>
      <c r="B13">
        <v>244</v>
      </c>
      <c r="C13">
        <v>0</v>
      </c>
      <c r="D13">
        <v>216</v>
      </c>
      <c r="E13">
        <v>2008</v>
      </c>
      <c r="F13">
        <v>2025</v>
      </c>
    </row>
    <row r="14" spans="1:6" x14ac:dyDescent="0.3">
      <c r="A14" t="s">
        <v>24</v>
      </c>
      <c r="B14">
        <v>41226</v>
      </c>
      <c r="C14">
        <v>1</v>
      </c>
      <c r="D14">
        <v>216</v>
      </c>
      <c r="E14">
        <v>2008</v>
      </c>
      <c r="F14">
        <v>2025</v>
      </c>
    </row>
    <row r="15" spans="1:6" x14ac:dyDescent="0.3">
      <c r="A15" t="s">
        <v>26</v>
      </c>
      <c r="B15">
        <v>162360</v>
      </c>
      <c r="C15">
        <v>0</v>
      </c>
      <c r="D15">
        <v>216</v>
      </c>
      <c r="E15">
        <v>2008</v>
      </c>
      <c r="F15">
        <v>2025</v>
      </c>
    </row>
    <row r="16" spans="1:6" x14ac:dyDescent="0.3">
      <c r="A16" t="s">
        <v>27</v>
      </c>
      <c r="B16">
        <v>960173</v>
      </c>
      <c r="C16">
        <v>32</v>
      </c>
      <c r="D16">
        <v>216</v>
      </c>
      <c r="E16">
        <v>2008</v>
      </c>
      <c r="F16">
        <v>2025</v>
      </c>
    </row>
    <row r="17" spans="1:6" x14ac:dyDescent="0.3">
      <c r="A17" t="s">
        <v>28</v>
      </c>
      <c r="B17">
        <v>9079</v>
      </c>
      <c r="C17">
        <v>1</v>
      </c>
      <c r="D17">
        <v>216</v>
      </c>
      <c r="E17">
        <v>2008</v>
      </c>
      <c r="F17">
        <v>2025</v>
      </c>
    </row>
    <row r="18" spans="1:6" x14ac:dyDescent="0.3">
      <c r="A18" t="s">
        <v>29</v>
      </c>
      <c r="B18">
        <v>134671</v>
      </c>
      <c r="C18">
        <v>40</v>
      </c>
      <c r="D18">
        <v>216</v>
      </c>
      <c r="E18">
        <v>2008</v>
      </c>
      <c r="F18">
        <v>2025</v>
      </c>
    </row>
    <row r="19" spans="1:6" x14ac:dyDescent="0.3">
      <c r="A19" t="s">
        <v>30</v>
      </c>
      <c r="B19">
        <v>17254</v>
      </c>
      <c r="C19">
        <v>7</v>
      </c>
      <c r="D19">
        <v>216</v>
      </c>
      <c r="E19">
        <v>2008</v>
      </c>
      <c r="F19">
        <v>2025</v>
      </c>
    </row>
    <row r="20" spans="1:6" x14ac:dyDescent="0.3">
      <c r="A20" t="s">
        <v>31</v>
      </c>
      <c r="B20">
        <v>1554</v>
      </c>
      <c r="C20">
        <v>3</v>
      </c>
      <c r="D20">
        <v>216</v>
      </c>
      <c r="E20">
        <v>2008</v>
      </c>
      <c r="F20">
        <v>2025</v>
      </c>
    </row>
    <row r="21" spans="1:6" x14ac:dyDescent="0.3">
      <c r="A21" t="s">
        <v>32</v>
      </c>
      <c r="B21">
        <v>874</v>
      </c>
      <c r="C21">
        <v>0</v>
      </c>
      <c r="D21">
        <v>216</v>
      </c>
      <c r="E21">
        <v>2008</v>
      </c>
      <c r="F21">
        <v>2025</v>
      </c>
    </row>
    <row r="22" spans="1:6" x14ac:dyDescent="0.3">
      <c r="A22" t="s">
        <v>34</v>
      </c>
      <c r="B22">
        <v>4017493</v>
      </c>
      <c r="C22">
        <v>831</v>
      </c>
      <c r="D22">
        <v>216</v>
      </c>
      <c r="E22">
        <v>2008</v>
      </c>
      <c r="F22">
        <v>2025</v>
      </c>
    </row>
    <row r="23" spans="1:6" x14ac:dyDescent="0.3">
      <c r="A23" t="s">
        <v>35</v>
      </c>
      <c r="B23">
        <v>65</v>
      </c>
      <c r="C23">
        <v>1</v>
      </c>
      <c r="D23">
        <v>96</v>
      </c>
      <c r="E23">
        <v>2018</v>
      </c>
      <c r="F23">
        <v>2025</v>
      </c>
    </row>
    <row r="24" spans="1:6" x14ac:dyDescent="0.3">
      <c r="A24" t="s">
        <v>36</v>
      </c>
      <c r="B24">
        <v>23</v>
      </c>
      <c r="C24">
        <v>1</v>
      </c>
      <c r="D24">
        <v>216</v>
      </c>
      <c r="E24">
        <v>2008</v>
      </c>
      <c r="F24">
        <v>2025</v>
      </c>
    </row>
    <row r="25" spans="1:6" x14ac:dyDescent="0.3">
      <c r="A25" t="s">
        <v>38</v>
      </c>
      <c r="B25">
        <v>2352</v>
      </c>
      <c r="C25">
        <v>1</v>
      </c>
      <c r="D25">
        <v>216</v>
      </c>
      <c r="E25">
        <v>2008</v>
      </c>
      <c r="F25">
        <v>2025</v>
      </c>
    </row>
    <row r="26" spans="1:6" x14ac:dyDescent="0.3">
      <c r="A26" t="s">
        <v>39</v>
      </c>
      <c r="B26">
        <v>62032</v>
      </c>
      <c r="C26">
        <v>875</v>
      </c>
      <c r="D26">
        <v>216</v>
      </c>
      <c r="E26">
        <v>2008</v>
      </c>
      <c r="F26">
        <v>2025</v>
      </c>
    </row>
    <row r="27" spans="1:6" x14ac:dyDescent="0.3">
      <c r="A27" t="s">
        <v>40</v>
      </c>
      <c r="B27">
        <v>13876</v>
      </c>
      <c r="C27">
        <v>0</v>
      </c>
      <c r="D27">
        <v>216</v>
      </c>
      <c r="E27">
        <v>2008</v>
      </c>
      <c r="F27">
        <v>2025</v>
      </c>
    </row>
    <row r="28" spans="1:6" x14ac:dyDescent="0.3">
      <c r="A28" t="s">
        <v>41</v>
      </c>
      <c r="B28">
        <v>177498</v>
      </c>
      <c r="C28">
        <v>155</v>
      </c>
      <c r="D28">
        <v>216</v>
      </c>
      <c r="E28">
        <v>2008</v>
      </c>
      <c r="F28">
        <v>2025</v>
      </c>
    </row>
    <row r="29" spans="1:6" x14ac:dyDescent="0.3">
      <c r="A29" t="s">
        <v>43</v>
      </c>
      <c r="B29">
        <v>57137</v>
      </c>
      <c r="C29">
        <v>48</v>
      </c>
      <c r="D29">
        <v>216</v>
      </c>
      <c r="E29">
        <v>2008</v>
      </c>
      <c r="F29">
        <v>2025</v>
      </c>
    </row>
    <row r="30" spans="1:6" x14ac:dyDescent="0.3">
      <c r="A30" t="s">
        <v>45</v>
      </c>
      <c r="B30">
        <v>54574</v>
      </c>
      <c r="C30">
        <v>1091</v>
      </c>
      <c r="D30">
        <v>216</v>
      </c>
      <c r="E30">
        <v>2008</v>
      </c>
      <c r="F30">
        <v>2025</v>
      </c>
    </row>
    <row r="31" spans="1:6" x14ac:dyDescent="0.3">
      <c r="A31" t="s">
        <v>400</v>
      </c>
      <c r="B31">
        <v>30583</v>
      </c>
      <c r="C31">
        <v>199</v>
      </c>
      <c r="D31">
        <v>216</v>
      </c>
      <c r="E31">
        <v>2008</v>
      </c>
      <c r="F31">
        <v>2025</v>
      </c>
    </row>
    <row r="32" spans="1:6" x14ac:dyDescent="0.3">
      <c r="A32" t="s">
        <v>47</v>
      </c>
      <c r="B32">
        <v>95578</v>
      </c>
      <c r="C32">
        <v>0</v>
      </c>
      <c r="D32">
        <v>216</v>
      </c>
      <c r="E32">
        <v>2008</v>
      </c>
      <c r="F32">
        <v>2025</v>
      </c>
    </row>
    <row r="33" spans="1:6" x14ac:dyDescent="0.3">
      <c r="A33" t="s">
        <v>51</v>
      </c>
      <c r="B33">
        <v>4791</v>
      </c>
      <c r="C33">
        <v>1</v>
      </c>
      <c r="D33">
        <v>216</v>
      </c>
      <c r="E33">
        <v>2008</v>
      </c>
      <c r="F33">
        <v>2025</v>
      </c>
    </row>
    <row r="34" spans="1:6" x14ac:dyDescent="0.3">
      <c r="A34" t="s">
        <v>53</v>
      </c>
      <c r="B34">
        <v>2551</v>
      </c>
      <c r="C34">
        <v>15</v>
      </c>
      <c r="D34">
        <v>216</v>
      </c>
      <c r="E34">
        <v>2008</v>
      </c>
      <c r="F34">
        <v>2025</v>
      </c>
    </row>
    <row r="35" spans="1:6" x14ac:dyDescent="0.3">
      <c r="A35" t="s">
        <v>54</v>
      </c>
      <c r="B35">
        <v>4228954</v>
      </c>
      <c r="C35">
        <v>12306</v>
      </c>
      <c r="D35">
        <v>216</v>
      </c>
      <c r="E35">
        <v>2008</v>
      </c>
      <c r="F35">
        <v>2025</v>
      </c>
    </row>
    <row r="36" spans="1:6" x14ac:dyDescent="0.3">
      <c r="A36" t="s">
        <v>58</v>
      </c>
      <c r="B36">
        <v>5153</v>
      </c>
      <c r="C36">
        <v>0</v>
      </c>
      <c r="D36">
        <v>216</v>
      </c>
      <c r="E36">
        <v>2008</v>
      </c>
      <c r="F36">
        <v>2025</v>
      </c>
    </row>
    <row r="37" spans="1:6" x14ac:dyDescent="0.3">
      <c r="A37" t="s">
        <v>60</v>
      </c>
      <c r="B37">
        <v>28544</v>
      </c>
      <c r="C37">
        <v>0</v>
      </c>
      <c r="D37">
        <v>216</v>
      </c>
      <c r="E37">
        <v>2008</v>
      </c>
      <c r="F37">
        <v>2025</v>
      </c>
    </row>
    <row r="38" spans="1:6" x14ac:dyDescent="0.3">
      <c r="A38" t="s">
        <v>61</v>
      </c>
      <c r="B38">
        <v>135408</v>
      </c>
      <c r="C38">
        <v>102</v>
      </c>
      <c r="D38">
        <v>216</v>
      </c>
      <c r="E38">
        <v>2008</v>
      </c>
      <c r="F38">
        <v>2025</v>
      </c>
    </row>
    <row r="39" spans="1:6" x14ac:dyDescent="0.3">
      <c r="A39" t="s">
        <v>62</v>
      </c>
      <c r="B39">
        <v>5957</v>
      </c>
      <c r="C39">
        <v>324</v>
      </c>
      <c r="D39">
        <v>156</v>
      </c>
      <c r="E39">
        <v>2013</v>
      </c>
      <c r="F39">
        <v>2025</v>
      </c>
    </row>
    <row r="40" spans="1:6" x14ac:dyDescent="0.3">
      <c r="A40" t="s">
        <v>63</v>
      </c>
      <c r="B40">
        <v>159408</v>
      </c>
      <c r="C40">
        <v>19</v>
      </c>
      <c r="D40">
        <v>216</v>
      </c>
      <c r="E40">
        <v>2008</v>
      </c>
      <c r="F40">
        <v>2025</v>
      </c>
    </row>
    <row r="41" spans="1:6" x14ac:dyDescent="0.3">
      <c r="A41" t="s">
        <v>69</v>
      </c>
      <c r="B41">
        <v>233</v>
      </c>
      <c r="C41">
        <v>1</v>
      </c>
      <c r="D41">
        <v>216</v>
      </c>
      <c r="E41">
        <v>2008</v>
      </c>
      <c r="F41">
        <v>2025</v>
      </c>
    </row>
    <row r="42" spans="1:6" x14ac:dyDescent="0.3">
      <c r="A42" t="s">
        <v>70</v>
      </c>
      <c r="B42">
        <v>35445</v>
      </c>
      <c r="C42">
        <v>1</v>
      </c>
      <c r="D42">
        <v>216</v>
      </c>
      <c r="E42">
        <v>2008</v>
      </c>
      <c r="F42">
        <v>2025</v>
      </c>
    </row>
    <row r="43" spans="1:6" x14ac:dyDescent="0.3">
      <c r="A43" t="s">
        <v>72</v>
      </c>
      <c r="B43">
        <v>2258</v>
      </c>
      <c r="C43">
        <v>0</v>
      </c>
      <c r="D43">
        <v>84</v>
      </c>
      <c r="E43">
        <v>2019</v>
      </c>
      <c r="F43">
        <v>2025</v>
      </c>
    </row>
  </sheetData>
  <phoneticPr fontId="1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871C975-1266-478F-932D-54A867A281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TotalCasesDeaths</vt:lpstr>
      <vt:lpstr>DiseaseName</vt:lpstr>
      <vt:lpstr>DiseaseLocation</vt:lpstr>
      <vt:lpstr>Save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kg L</cp:lastModifiedBy>
  <dcterms:created xsi:type="dcterms:W3CDTF">2025-11-27T02:43:16Z</dcterms:created>
  <dcterms:modified xsi:type="dcterms:W3CDTF">2025-12-16T12:52:12Z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2025-11-27T02:43:51Z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166abe05-a5de-4c15-9c5b-4fb99648fb2a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